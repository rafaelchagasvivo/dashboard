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175652\Documents\desenvolvimentos\00-dashboard_projetos\"/>
    </mc:Choice>
  </mc:AlternateContent>
  <xr:revisionPtr revIDLastSave="0" documentId="13_ncr:1_{486AC659-2A2D-422B-BA68-1C317D35A233}" xr6:coauthVersionLast="47" xr6:coauthVersionMax="47" xr10:uidLastSave="{00000000-0000-0000-0000-000000000000}"/>
  <bookViews>
    <workbookView xWindow="-110" yWindow="-110" windowWidth="19420" windowHeight="10300" xr2:uid="{BB3E8AEC-EF69-410E-89FB-3EFE7D1BAA75}"/>
  </bookViews>
  <sheets>
    <sheet name="PIS Cyber" sheetId="1" r:id="rId1"/>
    <sheet name="Demanda_A" sheetId="8" r:id="rId2"/>
    <sheet name="Demanda_B" sheetId="9" r:id="rId3"/>
    <sheet name="Demanda_C" sheetId="10" r:id="rId4"/>
  </sheets>
  <definedNames>
    <definedName name="Dados_Demanda2_IA">#REF!</definedName>
    <definedName name="Dados_Demanda3_IA">#REF!</definedName>
    <definedName name="Dados_Demanda4_IA">#REF!</definedName>
    <definedName name="Dados_ForgIA">'PIS Cyber'!$B$6:$M$45</definedName>
    <definedName name="data_progresso">IF('PIS Cyber'!$M1&gt;0,'PIS Cyber'!$I1+(_xlfn.DAYS('PIS Cyber'!$J1,'PIS Cyber'!$I1)*'PIS Cyber'!$M1),0)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" i="10" l="1"/>
  <c r="H39" i="10"/>
  <c r="E39" i="10"/>
  <c r="E38" i="10"/>
  <c r="H38" i="10" s="1"/>
  <c r="E36" i="10"/>
  <c r="D37" i="10" s="1"/>
  <c r="H35" i="10"/>
  <c r="E34" i="10"/>
  <c r="H34" i="10" s="1"/>
  <c r="J10" i="10"/>
  <c r="D9" i="10"/>
  <c r="H9" i="10" s="1"/>
  <c r="N6" i="10"/>
  <c r="N5" i="10" s="1"/>
  <c r="B45" i="9"/>
  <c r="H39" i="9"/>
  <c r="E39" i="9"/>
  <c r="H38" i="9"/>
  <c r="E38" i="9"/>
  <c r="E36" i="9"/>
  <c r="D37" i="9" s="1"/>
  <c r="H35" i="9"/>
  <c r="E34" i="9"/>
  <c r="H34" i="9" s="1"/>
  <c r="J10" i="9"/>
  <c r="D9" i="9"/>
  <c r="H9" i="9" s="1"/>
  <c r="N6" i="9"/>
  <c r="N5" i="9" s="1"/>
  <c r="B45" i="8"/>
  <c r="E39" i="8"/>
  <c r="H39" i="8" s="1"/>
  <c r="E38" i="8"/>
  <c r="H38" i="8" s="1"/>
  <c r="E36" i="8"/>
  <c r="H36" i="8" s="1"/>
  <c r="H35" i="8"/>
  <c r="E34" i="8"/>
  <c r="H34" i="8" s="1"/>
  <c r="J10" i="8"/>
  <c r="D9" i="8"/>
  <c r="N6" i="8"/>
  <c r="N5" i="8" s="1"/>
  <c r="D9" i="1"/>
  <c r="E9" i="1" s="1"/>
  <c r="D10" i="1" s="1"/>
  <c r="E10" i="1" s="1"/>
  <c r="D11" i="1" s="1"/>
  <c r="E11" i="1" s="1"/>
  <c r="D12" i="1" s="1"/>
  <c r="E12" i="1" s="1"/>
  <c r="D13" i="1" s="1"/>
  <c r="E13" i="1" s="1"/>
  <c r="D14" i="1" s="1"/>
  <c r="E14" i="1" s="1"/>
  <c r="D15" i="1" s="1"/>
  <c r="E15" i="1" s="1"/>
  <c r="D16" i="1" s="1"/>
  <c r="E16" i="1" s="1"/>
  <c r="D17" i="1" s="1"/>
  <c r="E17" i="1" s="1"/>
  <c r="D18" i="1" s="1"/>
  <c r="E18" i="1" s="1"/>
  <c r="D20" i="1" s="1"/>
  <c r="J10" i="1"/>
  <c r="E39" i="1"/>
  <c r="H39" i="1"/>
  <c r="E38" i="1"/>
  <c r="H38" i="1" s="1"/>
  <c r="E36" i="1"/>
  <c r="D37" i="1" s="1"/>
  <c r="E34" i="1"/>
  <c r="H34" i="1"/>
  <c r="H35" i="1"/>
  <c r="B45" i="1"/>
  <c r="E37" i="10" l="1"/>
  <c r="H37" i="10"/>
  <c r="N7" i="10"/>
  <c r="O6" i="10"/>
  <c r="E9" i="10"/>
  <c r="D10" i="10" s="1"/>
  <c r="E10" i="10" s="1"/>
  <c r="D11" i="10" s="1"/>
  <c r="E11" i="10" s="1"/>
  <c r="D12" i="10" s="1"/>
  <c r="E12" i="10" s="1"/>
  <c r="D13" i="10" s="1"/>
  <c r="H36" i="10"/>
  <c r="E37" i="9"/>
  <c r="H37" i="9"/>
  <c r="N7" i="9"/>
  <c r="O6" i="9"/>
  <c r="E9" i="9"/>
  <c r="D10" i="9" s="1"/>
  <c r="E10" i="9" s="1"/>
  <c r="D11" i="9" s="1"/>
  <c r="E11" i="9" s="1"/>
  <c r="D12" i="9" s="1"/>
  <c r="E12" i="9" s="1"/>
  <c r="D13" i="9" s="1"/>
  <c r="H36" i="9"/>
  <c r="H9" i="8"/>
  <c r="E9" i="8"/>
  <c r="D10" i="8" s="1"/>
  <c r="E10" i="8" s="1"/>
  <c r="D11" i="8" s="1"/>
  <c r="E11" i="8" s="1"/>
  <c r="D12" i="8" s="1"/>
  <c r="E12" i="8" s="1"/>
  <c r="D13" i="8" s="1"/>
  <c r="O6" i="8"/>
  <c r="N7" i="8"/>
  <c r="D37" i="8"/>
  <c r="H36" i="1"/>
  <c r="H20" i="1"/>
  <c r="E20" i="1"/>
  <c r="D21" i="1" s="1"/>
  <c r="H16" i="1"/>
  <c r="H13" i="1"/>
  <c r="E37" i="1"/>
  <c r="H37" i="1" s="1"/>
  <c r="H17" i="1"/>
  <c r="H14" i="1"/>
  <c r="H9" i="1"/>
  <c r="H13" i="10" l="1"/>
  <c r="E13" i="10"/>
  <c r="D14" i="10" s="1"/>
  <c r="P6" i="10"/>
  <c r="O7" i="10"/>
  <c r="H13" i="9"/>
  <c r="E13" i="9"/>
  <c r="D14" i="9" s="1"/>
  <c r="P6" i="9"/>
  <c r="O7" i="9"/>
  <c r="H37" i="8"/>
  <c r="E37" i="8"/>
  <c r="P6" i="8"/>
  <c r="O7" i="8"/>
  <c r="H13" i="8"/>
  <c r="E13" i="8"/>
  <c r="D14" i="8" s="1"/>
  <c r="H21" i="1"/>
  <c r="E21" i="1"/>
  <c r="D22" i="1" s="1"/>
  <c r="N6" i="1"/>
  <c r="N7" i="1" s="1"/>
  <c r="Q6" i="10" l="1"/>
  <c r="P7" i="10"/>
  <c r="H14" i="10"/>
  <c r="E14" i="10"/>
  <c r="D15" i="10" s="1"/>
  <c r="E15" i="10" s="1"/>
  <c r="D16" i="10" s="1"/>
  <c r="H14" i="9"/>
  <c r="E14" i="9"/>
  <c r="D15" i="9" s="1"/>
  <c r="E15" i="9" s="1"/>
  <c r="D16" i="9" s="1"/>
  <c r="Q6" i="9"/>
  <c r="P7" i="9"/>
  <c r="P7" i="8"/>
  <c r="Q6" i="8"/>
  <c r="H14" i="8"/>
  <c r="E14" i="8"/>
  <c r="D15" i="8" s="1"/>
  <c r="E15" i="8" s="1"/>
  <c r="D16" i="8" s="1"/>
  <c r="H22" i="1"/>
  <c r="E22" i="1"/>
  <c r="D23" i="1" s="1"/>
  <c r="N5" i="1"/>
  <c r="O6" i="1"/>
  <c r="P6" i="1" s="1"/>
  <c r="Q6" i="1" s="1"/>
  <c r="R6" i="1" s="1"/>
  <c r="S6" i="1" s="1"/>
  <c r="T6" i="1" s="1"/>
  <c r="U6" i="1" s="1"/>
  <c r="R6" i="10" l="1"/>
  <c r="Q7" i="10"/>
  <c r="H16" i="10"/>
  <c r="E16" i="10"/>
  <c r="D17" i="10" s="1"/>
  <c r="R6" i="9"/>
  <c r="Q7" i="9"/>
  <c r="H16" i="9"/>
  <c r="E16" i="9"/>
  <c r="D17" i="9" s="1"/>
  <c r="R6" i="8"/>
  <c r="Q7" i="8"/>
  <c r="H16" i="8"/>
  <c r="E16" i="8"/>
  <c r="D17" i="8" s="1"/>
  <c r="E23" i="1"/>
  <c r="D24" i="1" s="1"/>
  <c r="H23" i="1"/>
  <c r="V6" i="1"/>
  <c r="W6" i="1" s="1"/>
  <c r="X6" i="1" s="1"/>
  <c r="Y6" i="1" s="1"/>
  <c r="Y7" i="1" s="1"/>
  <c r="U5" i="1"/>
  <c r="P7" i="1"/>
  <c r="Q7" i="1"/>
  <c r="O7" i="1"/>
  <c r="R7" i="1"/>
  <c r="R7" i="10" l="1"/>
  <c r="S6" i="10"/>
  <c r="H17" i="10"/>
  <c r="E17" i="10"/>
  <c r="D18" i="10" s="1"/>
  <c r="E18" i="10" s="1"/>
  <c r="D20" i="10" s="1"/>
  <c r="E17" i="9"/>
  <c r="D18" i="9" s="1"/>
  <c r="E18" i="9" s="1"/>
  <c r="D20" i="9" s="1"/>
  <c r="H17" i="9"/>
  <c r="R7" i="9"/>
  <c r="S6" i="9"/>
  <c r="H17" i="8"/>
  <c r="E17" i="8"/>
  <c r="D18" i="8" s="1"/>
  <c r="E18" i="8" s="1"/>
  <c r="D20" i="8" s="1"/>
  <c r="S6" i="8"/>
  <c r="R7" i="8"/>
  <c r="E24" i="1"/>
  <c r="D25" i="1" s="1"/>
  <c r="H24" i="1"/>
  <c r="Z6" i="1"/>
  <c r="AA6" i="1" s="1"/>
  <c r="W7" i="1"/>
  <c r="X7" i="1"/>
  <c r="S7" i="1"/>
  <c r="T6" i="10" l="1"/>
  <c r="S7" i="10"/>
  <c r="H20" i="10"/>
  <c r="E20" i="10"/>
  <c r="D21" i="10" s="1"/>
  <c r="T6" i="9"/>
  <c r="S7" i="9"/>
  <c r="H20" i="9"/>
  <c r="E20" i="9"/>
  <c r="D21" i="9" s="1"/>
  <c r="T6" i="8"/>
  <c r="S7" i="8"/>
  <c r="H20" i="8"/>
  <c r="E20" i="8"/>
  <c r="D21" i="8" s="1"/>
  <c r="H25" i="1"/>
  <c r="E25" i="1"/>
  <c r="D26" i="1" s="1"/>
  <c r="Z7" i="1"/>
  <c r="AA7" i="1"/>
  <c r="AB6" i="1"/>
  <c r="AB5" i="1" s="1"/>
  <c r="T7" i="1"/>
  <c r="H21" i="10" l="1"/>
  <c r="E21" i="10"/>
  <c r="D22" i="10" s="1"/>
  <c r="U6" i="10"/>
  <c r="T7" i="10"/>
  <c r="U6" i="9"/>
  <c r="T7" i="9"/>
  <c r="E21" i="9"/>
  <c r="D22" i="9" s="1"/>
  <c r="H21" i="9"/>
  <c r="H21" i="8"/>
  <c r="E21" i="8"/>
  <c r="D22" i="8" s="1"/>
  <c r="U6" i="8"/>
  <c r="T7" i="8"/>
  <c r="H26" i="1"/>
  <c r="E26" i="1"/>
  <c r="D27" i="1" s="1"/>
  <c r="AC6" i="1"/>
  <c r="AB7" i="1"/>
  <c r="U7" i="1"/>
  <c r="V7" i="1"/>
  <c r="V6" i="10" l="1"/>
  <c r="U7" i="10"/>
  <c r="U5" i="10"/>
  <c r="H22" i="10"/>
  <c r="E22" i="10"/>
  <c r="D23" i="10" s="1"/>
  <c r="V6" i="9"/>
  <c r="U7" i="9"/>
  <c r="U5" i="9"/>
  <c r="H22" i="9"/>
  <c r="E22" i="9"/>
  <c r="D23" i="9" s="1"/>
  <c r="V6" i="8"/>
  <c r="U7" i="8"/>
  <c r="U5" i="8"/>
  <c r="H22" i="8"/>
  <c r="E22" i="8"/>
  <c r="D23" i="8" s="1"/>
  <c r="E27" i="1"/>
  <c r="D28" i="1" s="1"/>
  <c r="H27" i="1"/>
  <c r="AD6" i="1"/>
  <c r="AC7" i="1"/>
  <c r="H23" i="10" l="1"/>
  <c r="E23" i="10"/>
  <c r="D24" i="10" s="1"/>
  <c r="W6" i="10"/>
  <c r="V7" i="10"/>
  <c r="V7" i="9"/>
  <c r="W6" i="9"/>
  <c r="E23" i="9"/>
  <c r="D24" i="9" s="1"/>
  <c r="H23" i="9"/>
  <c r="H23" i="8"/>
  <c r="E23" i="8"/>
  <c r="D24" i="8" s="1"/>
  <c r="W6" i="8"/>
  <c r="V7" i="8"/>
  <c r="E28" i="1"/>
  <c r="D29" i="1" s="1"/>
  <c r="H28" i="1"/>
  <c r="AE6" i="1"/>
  <c r="AD7" i="1"/>
  <c r="X6" i="10" l="1"/>
  <c r="W7" i="10"/>
  <c r="H24" i="10"/>
  <c r="E24" i="10"/>
  <c r="D25" i="10" s="1"/>
  <c r="X6" i="9"/>
  <c r="W7" i="9"/>
  <c r="H24" i="9"/>
  <c r="E24" i="9"/>
  <c r="D25" i="9" s="1"/>
  <c r="X6" i="8"/>
  <c r="W7" i="8"/>
  <c r="H24" i="8"/>
  <c r="E24" i="8"/>
  <c r="D25" i="8" s="1"/>
  <c r="E29" i="1"/>
  <c r="D30" i="1" s="1"/>
  <c r="H29" i="1"/>
  <c r="AF6" i="1"/>
  <c r="AE7" i="1"/>
  <c r="H25" i="10" l="1"/>
  <c r="E25" i="10"/>
  <c r="D26" i="10" s="1"/>
  <c r="X7" i="10"/>
  <c r="Y6" i="10"/>
  <c r="H25" i="9"/>
  <c r="E25" i="9"/>
  <c r="D26" i="9" s="1"/>
  <c r="X7" i="9"/>
  <c r="Y6" i="9"/>
  <c r="E25" i="8"/>
  <c r="D26" i="8" s="1"/>
  <c r="H25" i="8"/>
  <c r="X7" i="8"/>
  <c r="Y6" i="8"/>
  <c r="H30" i="1"/>
  <c r="E30" i="1"/>
  <c r="D31" i="1" s="1"/>
  <c r="AG6" i="1"/>
  <c r="AF7" i="1"/>
  <c r="Y7" i="10" l="1"/>
  <c r="Z6" i="10"/>
  <c r="H26" i="10"/>
  <c r="E26" i="10"/>
  <c r="D27" i="10" s="1"/>
  <c r="Z6" i="9"/>
  <c r="Y7" i="9"/>
  <c r="E26" i="9"/>
  <c r="D27" i="9" s="1"/>
  <c r="H26" i="9"/>
  <c r="Y7" i="8"/>
  <c r="Z6" i="8"/>
  <c r="E26" i="8"/>
  <c r="D27" i="8" s="1"/>
  <c r="H26" i="8"/>
  <c r="E31" i="1"/>
  <c r="D32" i="1" s="1"/>
  <c r="H31" i="1"/>
  <c r="AG7" i="1"/>
  <c r="AH6" i="1"/>
  <c r="H27" i="10" l="1"/>
  <c r="E27" i="10"/>
  <c r="D28" i="10" s="1"/>
  <c r="AA6" i="10"/>
  <c r="Z7" i="10"/>
  <c r="Z7" i="9"/>
  <c r="AA6" i="9"/>
  <c r="H27" i="9"/>
  <c r="E27" i="9"/>
  <c r="D28" i="9" s="1"/>
  <c r="Z7" i="8"/>
  <c r="AA6" i="8"/>
  <c r="H27" i="8"/>
  <c r="E27" i="8"/>
  <c r="D28" i="8" s="1"/>
  <c r="H32" i="1"/>
  <c r="E32" i="1"/>
  <c r="D33" i="1" s="1"/>
  <c r="AH7" i="1"/>
  <c r="AI6" i="1"/>
  <c r="AI5" i="1" s="1"/>
  <c r="AB6" i="10" l="1"/>
  <c r="AA7" i="10"/>
  <c r="H28" i="10"/>
  <c r="E28" i="10"/>
  <c r="D29" i="10" s="1"/>
  <c r="AB6" i="9"/>
  <c r="AA7" i="9"/>
  <c r="H28" i="9"/>
  <c r="E28" i="9"/>
  <c r="D29" i="9" s="1"/>
  <c r="H28" i="8"/>
  <c r="E28" i="8"/>
  <c r="D29" i="8" s="1"/>
  <c r="AB6" i="8"/>
  <c r="AA7" i="8"/>
  <c r="E33" i="1"/>
  <c r="H33" i="1"/>
  <c r="AI7" i="1"/>
  <c r="AJ6" i="1"/>
  <c r="E29" i="10" l="1"/>
  <c r="D30" i="10" s="1"/>
  <c r="H29" i="10"/>
  <c r="AB5" i="10"/>
  <c r="AC6" i="10"/>
  <c r="AB7" i="10"/>
  <c r="AB5" i="9"/>
  <c r="AC6" i="9"/>
  <c r="AB7" i="9"/>
  <c r="E29" i="9"/>
  <c r="D30" i="9" s="1"/>
  <c r="H29" i="9"/>
  <c r="AC6" i="8"/>
  <c r="AB5" i="8"/>
  <c r="AB7" i="8"/>
  <c r="H29" i="8"/>
  <c r="E29" i="8"/>
  <c r="D30" i="8" s="1"/>
  <c r="AK6" i="1"/>
  <c r="AJ7" i="1"/>
  <c r="AD6" i="10" l="1"/>
  <c r="AC7" i="10"/>
  <c r="E30" i="10"/>
  <c r="D31" i="10" s="1"/>
  <c r="H30" i="10"/>
  <c r="AD6" i="9"/>
  <c r="AC7" i="9"/>
  <c r="H30" i="9"/>
  <c r="E30" i="9"/>
  <c r="D31" i="9" s="1"/>
  <c r="E30" i="8"/>
  <c r="D31" i="8" s="1"/>
  <c r="H30" i="8"/>
  <c r="AD6" i="8"/>
  <c r="AC7" i="8"/>
  <c r="AL6" i="1"/>
  <c r="AK7" i="1"/>
  <c r="H31" i="10" l="1"/>
  <c r="E31" i="10"/>
  <c r="D32" i="10" s="1"/>
  <c r="AE6" i="10"/>
  <c r="AD7" i="10"/>
  <c r="E31" i="9"/>
  <c r="D32" i="9" s="1"/>
  <c r="H31" i="9"/>
  <c r="AE6" i="9"/>
  <c r="AD7" i="9"/>
  <c r="H31" i="8"/>
  <c r="E31" i="8"/>
  <c r="D32" i="8" s="1"/>
  <c r="AE6" i="8"/>
  <c r="AD7" i="8"/>
  <c r="AM6" i="1"/>
  <c r="AL7" i="1"/>
  <c r="H32" i="10" l="1"/>
  <c r="E32" i="10"/>
  <c r="D33" i="10" s="1"/>
  <c r="AF6" i="10"/>
  <c r="AE7" i="10"/>
  <c r="AF6" i="9"/>
  <c r="AE7" i="9"/>
  <c r="H32" i="9"/>
  <c r="E32" i="9"/>
  <c r="D33" i="9" s="1"/>
  <c r="AF6" i="8"/>
  <c r="AE7" i="8"/>
  <c r="H32" i="8"/>
  <c r="E32" i="8"/>
  <c r="D33" i="8" s="1"/>
  <c r="AM7" i="1"/>
  <c r="AN6" i="1"/>
  <c r="E33" i="10" l="1"/>
  <c r="H33" i="10"/>
  <c r="AF7" i="10"/>
  <c r="AG6" i="10"/>
  <c r="AF7" i="9"/>
  <c r="AG6" i="9"/>
  <c r="E33" i="9"/>
  <c r="H33" i="9"/>
  <c r="AG6" i="8"/>
  <c r="AF7" i="8"/>
  <c r="E33" i="8"/>
  <c r="H33" i="8"/>
  <c r="AN7" i="1"/>
  <c r="AO6" i="1"/>
  <c r="AH6" i="10" l="1"/>
  <c r="AG7" i="10"/>
  <c r="AH6" i="9"/>
  <c r="AG7" i="9"/>
  <c r="AH6" i="8"/>
  <c r="AG7" i="8"/>
  <c r="AO7" i="1"/>
  <c r="AP6" i="1"/>
  <c r="AP5" i="1" s="1"/>
  <c r="AI6" i="10" l="1"/>
  <c r="AH7" i="10"/>
  <c r="AI6" i="9"/>
  <c r="AH7" i="9"/>
  <c r="AI6" i="8"/>
  <c r="AH7" i="8"/>
  <c r="AP7" i="1"/>
  <c r="AQ6" i="1"/>
  <c r="AJ6" i="10" l="1"/>
  <c r="AI7" i="10"/>
  <c r="AI5" i="10"/>
  <c r="AJ6" i="9"/>
  <c r="AI7" i="9"/>
  <c r="AI5" i="9"/>
  <c r="AJ6" i="8"/>
  <c r="AI7" i="8"/>
  <c r="AI5" i="8"/>
  <c r="AQ7" i="1"/>
  <c r="AR6" i="1"/>
  <c r="AK6" i="10" l="1"/>
  <c r="AJ7" i="10"/>
  <c r="AJ7" i="9"/>
  <c r="AK6" i="9"/>
  <c r="AK6" i="8"/>
  <c r="AJ7" i="8"/>
  <c r="AS6" i="1"/>
  <c r="AR7" i="1"/>
  <c r="AL6" i="10" l="1"/>
  <c r="AK7" i="10"/>
  <c r="AL6" i="9"/>
  <c r="AK7" i="9"/>
  <c r="AL6" i="8"/>
  <c r="AK7" i="8"/>
  <c r="AT6" i="1"/>
  <c r="AS7" i="1"/>
  <c r="AL7" i="10" l="1"/>
  <c r="AM6" i="10"/>
  <c r="AM6" i="9"/>
  <c r="AL7" i="9"/>
  <c r="AL7" i="8"/>
  <c r="AM6" i="8"/>
  <c r="AU6" i="1"/>
  <c r="AT7" i="1"/>
  <c r="AN6" i="10" l="1"/>
  <c r="AM7" i="10"/>
  <c r="AM7" i="9"/>
  <c r="AN6" i="9"/>
  <c r="AM7" i="8"/>
  <c r="AN6" i="8"/>
  <c r="AV6" i="1"/>
  <c r="AU7" i="1"/>
  <c r="AO6" i="10" l="1"/>
  <c r="AN7" i="10"/>
  <c r="AO6" i="9"/>
  <c r="AN7" i="9"/>
  <c r="AO6" i="8"/>
  <c r="AN7" i="8"/>
  <c r="AW6" i="1"/>
  <c r="AW5" i="1" s="1"/>
  <c r="AV7" i="1"/>
  <c r="AP6" i="10" l="1"/>
  <c r="AO7" i="10"/>
  <c r="AO7" i="9"/>
  <c r="AP6" i="9"/>
  <c r="AP6" i="8"/>
  <c r="AO7" i="8"/>
  <c r="AW7" i="1"/>
  <c r="AX6" i="1"/>
  <c r="AP7" i="10" l="1"/>
  <c r="AP5" i="10"/>
  <c r="AQ6" i="10"/>
  <c r="AP5" i="9"/>
  <c r="AQ6" i="9"/>
  <c r="AP7" i="9"/>
  <c r="AP5" i="8"/>
  <c r="AQ6" i="8"/>
  <c r="AP7" i="8"/>
  <c r="AX7" i="1"/>
  <c r="AY6" i="1"/>
  <c r="AR6" i="10" l="1"/>
  <c r="AQ7" i="10"/>
  <c r="AR6" i="9"/>
  <c r="AQ7" i="9"/>
  <c r="AQ7" i="8"/>
  <c r="AR6" i="8"/>
  <c r="AY7" i="1"/>
  <c r="AZ6" i="1"/>
  <c r="AS6" i="10" l="1"/>
  <c r="AR7" i="10"/>
  <c r="AR7" i="9"/>
  <c r="AS6" i="9"/>
  <c r="AS6" i="8"/>
  <c r="AR7" i="8"/>
  <c r="AZ7" i="1"/>
  <c r="BA6" i="1"/>
  <c r="AT6" i="10" l="1"/>
  <c r="AS7" i="10"/>
  <c r="AS7" i="9"/>
  <c r="AT6" i="9"/>
  <c r="AT6" i="8"/>
  <c r="AS7" i="8"/>
  <c r="BB6" i="1"/>
  <c r="BA7" i="1"/>
  <c r="AT7" i="10" l="1"/>
  <c r="AU6" i="10"/>
  <c r="AT7" i="9"/>
  <c r="AU6" i="9"/>
  <c r="AU6" i="8"/>
  <c r="AT7" i="8"/>
  <c r="BB7" i="1"/>
  <c r="BC6" i="1"/>
  <c r="AV6" i="10" l="1"/>
  <c r="AU7" i="10"/>
  <c r="AV6" i="9"/>
  <c r="AU7" i="9"/>
  <c r="AV6" i="8"/>
  <c r="AU7" i="8"/>
  <c r="BD6" i="1"/>
  <c r="BD5" i="1" s="1"/>
  <c r="BC7" i="1"/>
  <c r="AW6" i="10" l="1"/>
  <c r="AV7" i="10"/>
  <c r="AW6" i="9"/>
  <c r="AV7" i="9"/>
  <c r="AW6" i="8"/>
  <c r="AV7" i="8"/>
  <c r="BD7" i="1"/>
  <c r="BE6" i="1"/>
  <c r="AW5" i="10" l="1"/>
  <c r="AX6" i="10"/>
  <c r="AW7" i="10"/>
  <c r="AX6" i="9"/>
  <c r="AW7" i="9"/>
  <c r="AW5" i="9"/>
  <c r="AW5" i="8"/>
  <c r="AX6" i="8"/>
  <c r="AW7" i="8"/>
  <c r="BE7" i="1"/>
  <c r="BF6" i="1"/>
  <c r="AY6" i="10" l="1"/>
  <c r="AX7" i="10"/>
  <c r="AX7" i="9"/>
  <c r="AY6" i="9"/>
  <c r="AY6" i="8"/>
  <c r="AX7" i="8"/>
  <c r="BF7" i="1"/>
  <c r="BG6" i="1"/>
  <c r="AZ6" i="10" l="1"/>
  <c r="AY7" i="10"/>
  <c r="AZ6" i="9"/>
  <c r="AY7" i="9"/>
  <c r="AZ6" i="8"/>
  <c r="AY7" i="8"/>
  <c r="BG7" i="1"/>
  <c r="BH6" i="1"/>
  <c r="AZ7" i="10" l="1"/>
  <c r="BA6" i="10"/>
  <c r="AZ7" i="9"/>
  <c r="BA6" i="9"/>
  <c r="AZ7" i="8"/>
  <c r="BA6" i="8"/>
  <c r="BI6" i="1"/>
  <c r="BH7" i="1"/>
  <c r="BB6" i="10" l="1"/>
  <c r="BA7" i="10"/>
  <c r="BB6" i="9"/>
  <c r="BA7" i="9"/>
  <c r="BA7" i="8"/>
  <c r="BB6" i="8"/>
  <c r="BJ6" i="1"/>
  <c r="BI7" i="1"/>
  <c r="BC6" i="10" l="1"/>
  <c r="BB7" i="10"/>
  <c r="BB7" i="9"/>
  <c r="BC6" i="9"/>
  <c r="BB7" i="8"/>
  <c r="BC6" i="8"/>
  <c r="BK6" i="1"/>
  <c r="BK5" i="1" s="1"/>
  <c r="BJ7" i="1"/>
  <c r="BD6" i="10" l="1"/>
  <c r="BC7" i="10"/>
  <c r="BD6" i="9"/>
  <c r="BC7" i="9"/>
  <c r="BC7" i="8"/>
  <c r="BD6" i="8"/>
  <c r="BL6" i="1"/>
  <c r="BK7" i="1"/>
  <c r="BD5" i="10" l="1"/>
  <c r="BE6" i="10"/>
  <c r="BD7" i="10"/>
  <c r="BE6" i="9"/>
  <c r="BD5" i="9"/>
  <c r="BD7" i="9"/>
  <c r="BD5" i="8"/>
  <c r="BE6" i="8"/>
  <c r="BD7" i="8"/>
  <c r="BM6" i="1"/>
  <c r="BL7" i="1"/>
  <c r="BF6" i="10" l="1"/>
  <c r="BE7" i="10"/>
  <c r="BF6" i="9"/>
  <c r="BE7" i="9"/>
  <c r="BF6" i="8"/>
  <c r="BE7" i="8"/>
  <c r="BM7" i="1"/>
  <c r="BN6" i="1"/>
  <c r="BG6" i="10" l="1"/>
  <c r="BF7" i="10"/>
  <c r="BF7" i="9"/>
  <c r="BG6" i="9"/>
  <c r="BG6" i="8"/>
  <c r="BF7" i="8"/>
  <c r="BN7" i="1"/>
  <c r="BO6" i="1"/>
  <c r="BG7" i="10" l="1"/>
  <c r="BH6" i="10"/>
  <c r="BH6" i="9"/>
  <c r="BG7" i="9"/>
  <c r="BG7" i="8"/>
  <c r="BH6" i="8"/>
  <c r="BO7" i="1"/>
  <c r="BP6" i="1"/>
  <c r="BH7" i="10" l="1"/>
  <c r="BI6" i="10"/>
  <c r="BH7" i="9"/>
  <c r="BI6" i="9"/>
  <c r="BI6" i="8"/>
  <c r="BH7" i="8"/>
  <c r="BQ6" i="1"/>
  <c r="BP7" i="1"/>
  <c r="BJ6" i="10" l="1"/>
  <c r="BI7" i="10"/>
  <c r="BJ6" i="9"/>
  <c r="BI7" i="9"/>
  <c r="BJ6" i="8"/>
  <c r="BI7" i="8"/>
  <c r="BR6" i="1"/>
  <c r="BR5" i="1" s="1"/>
  <c r="BQ7" i="1"/>
  <c r="BK6" i="10" l="1"/>
  <c r="BJ7" i="10"/>
  <c r="BK6" i="9"/>
  <c r="BJ7" i="9"/>
  <c r="BK6" i="8"/>
  <c r="BJ7" i="8"/>
  <c r="BS6" i="1"/>
  <c r="BR7" i="1"/>
  <c r="BL6" i="10" l="1"/>
  <c r="BK7" i="10"/>
  <c r="BK5" i="10"/>
  <c r="BL6" i="9"/>
  <c r="BK7" i="9"/>
  <c r="BK5" i="9"/>
  <c r="BL6" i="8"/>
  <c r="BK7" i="8"/>
  <c r="BK5" i="8"/>
  <c r="BT6" i="1"/>
  <c r="BS7" i="1"/>
  <c r="BM6" i="10" l="1"/>
  <c r="BL7" i="10"/>
  <c r="BL7" i="9"/>
  <c r="BM6" i="9"/>
  <c r="BL7" i="8"/>
  <c r="BM6" i="8"/>
  <c r="BT7" i="1"/>
  <c r="BU6" i="1"/>
  <c r="BN6" i="10" l="1"/>
  <c r="BM7" i="10"/>
  <c r="BN6" i="9"/>
  <c r="BM7" i="9"/>
  <c r="BN6" i="8"/>
  <c r="BM7" i="8"/>
  <c r="BU7" i="1"/>
  <c r="BV6" i="1"/>
  <c r="BN7" i="10" l="1"/>
  <c r="BO6" i="10"/>
  <c r="BN7" i="9"/>
  <c r="BO6" i="9"/>
  <c r="BN7" i="8"/>
  <c r="BO6" i="8"/>
  <c r="BV7" i="1"/>
  <c r="BW6" i="1"/>
  <c r="BP6" i="10" l="1"/>
  <c r="BO7" i="10"/>
  <c r="BP6" i="9"/>
  <c r="BO7" i="9"/>
  <c r="BO7" i="8"/>
  <c r="BP6" i="8"/>
  <c r="BW7" i="1"/>
  <c r="BX6" i="1"/>
  <c r="BP7" i="10" l="1"/>
  <c r="BQ6" i="10"/>
  <c r="BQ6" i="9"/>
  <c r="BP7" i="9"/>
  <c r="BQ6" i="8"/>
  <c r="BP7" i="8"/>
  <c r="BY6" i="1"/>
  <c r="BY5" i="1" s="1"/>
  <c r="BX7" i="1"/>
  <c r="BR6" i="10" l="1"/>
  <c r="BQ7" i="10"/>
  <c r="BQ7" i="9"/>
  <c r="BR6" i="9"/>
  <c r="BQ7" i="8"/>
  <c r="BR6" i="8"/>
  <c r="BZ6" i="1"/>
  <c r="BY7" i="1"/>
  <c r="BR5" i="10" l="1"/>
  <c r="BS6" i="10"/>
  <c r="BR7" i="10"/>
  <c r="BR5" i="9"/>
  <c r="BS6" i="9"/>
  <c r="BR7" i="9"/>
  <c r="BS6" i="8"/>
  <c r="BR5" i="8"/>
  <c r="BR7" i="8"/>
  <c r="CA6" i="1"/>
  <c r="BZ7" i="1"/>
  <c r="BT6" i="10" l="1"/>
  <c r="BS7" i="10"/>
  <c r="BT6" i="9"/>
  <c r="BS7" i="9"/>
  <c r="BS7" i="8"/>
  <c r="BT6" i="8"/>
  <c r="CB6" i="1"/>
  <c r="CA7" i="1"/>
  <c r="BU6" i="10" l="1"/>
  <c r="BT7" i="10"/>
  <c r="BU6" i="9"/>
  <c r="BT7" i="9"/>
  <c r="BU6" i="8"/>
  <c r="BT7" i="8"/>
  <c r="CC6" i="1"/>
  <c r="CB7" i="1"/>
  <c r="BV6" i="10" l="1"/>
  <c r="BU7" i="10"/>
  <c r="BU7" i="9"/>
  <c r="BV6" i="9"/>
  <c r="BV6" i="8"/>
  <c r="BU7" i="8"/>
  <c r="CC7" i="1"/>
  <c r="CD6" i="1"/>
  <c r="BW6" i="10" l="1"/>
  <c r="BV7" i="10"/>
  <c r="BV7" i="9"/>
  <c r="BW6" i="9"/>
  <c r="BW6" i="8"/>
  <c r="BV7" i="8"/>
  <c r="CD7" i="1"/>
  <c r="CE6" i="1"/>
  <c r="BX6" i="10" l="1"/>
  <c r="BW7" i="10"/>
  <c r="BX6" i="9"/>
  <c r="BW7" i="9"/>
  <c r="BX6" i="8"/>
  <c r="BW7" i="8"/>
  <c r="CE7" i="1"/>
  <c r="BY6" i="10" l="1"/>
  <c r="BX7" i="10"/>
  <c r="BY6" i="9"/>
  <c r="BX7" i="9"/>
  <c r="BY6" i="8"/>
  <c r="BX7" i="8"/>
  <c r="BZ6" i="10" l="1"/>
  <c r="BY7" i="10"/>
  <c r="BY5" i="10"/>
  <c r="BZ6" i="9"/>
  <c r="BY7" i="9"/>
  <c r="BY5" i="9"/>
  <c r="BZ6" i="8"/>
  <c r="BY7" i="8"/>
  <c r="BY5" i="8"/>
  <c r="CA6" i="10" l="1"/>
  <c r="BZ7" i="10"/>
  <c r="BZ7" i="9"/>
  <c r="CA6" i="9"/>
  <c r="CA6" i="8"/>
  <c r="BZ7" i="8"/>
  <c r="CB6" i="10" l="1"/>
  <c r="CA7" i="10"/>
  <c r="CB6" i="9"/>
  <c r="CA7" i="9"/>
  <c r="CB6" i="8"/>
  <c r="CA7" i="8"/>
  <c r="CB7" i="10" l="1"/>
  <c r="CC6" i="10"/>
  <c r="CC6" i="9"/>
  <c r="CB7" i="9"/>
  <c r="CB7" i="8"/>
  <c r="CC6" i="8"/>
  <c r="CD6" i="10" l="1"/>
  <c r="CC7" i="10"/>
  <c r="CC7" i="9"/>
  <c r="CD6" i="9"/>
  <c r="CD6" i="8"/>
  <c r="CC7" i="8"/>
  <c r="CE6" i="10" l="1"/>
  <c r="CE7" i="10" s="1"/>
  <c r="CD7" i="10"/>
  <c r="CD7" i="9"/>
  <c r="CE6" i="9"/>
  <c r="CE7" i="9" s="1"/>
  <c r="CE6" i="8"/>
  <c r="CE7" i="8" s="1"/>
  <c r="CD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C25066-7BB0-40F0-9D34-9983856AD085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<sst xmlns="http://schemas.openxmlformats.org/spreadsheetml/2006/main" count="336" uniqueCount="68">
  <si>
    <t>INICIO</t>
  </si>
  <si>
    <t>FIM</t>
  </si>
  <si>
    <t>PROGRESSO</t>
  </si>
  <si>
    <t>DURAÇÃO</t>
  </si>
  <si>
    <t>Data Início</t>
  </si>
  <si>
    <t>Semana</t>
  </si>
  <si>
    <t>DIAS</t>
  </si>
  <si>
    <t>PLANEJADO</t>
  </si>
  <si>
    <t>EXECUTADO</t>
  </si>
  <si>
    <t>STATUS</t>
  </si>
  <si>
    <t>TAREFA</t>
  </si>
  <si>
    <t>JIRA</t>
  </si>
  <si>
    <t>DISCOVERY</t>
  </si>
  <si>
    <t>1. Refinamento do Requisito</t>
  </si>
  <si>
    <t>3. Refinamento técnico e Funcional</t>
  </si>
  <si>
    <t>3.1 Refinamento Solução (M)</t>
  </si>
  <si>
    <t>3.1.1 Atualização Wireframe</t>
  </si>
  <si>
    <t>3.1.2 Aprovação história funcional</t>
  </si>
  <si>
    <t>3.1.3 Desenho C2 / Swagger e Data Mapping</t>
  </si>
  <si>
    <t xml:space="preserve">3.1.4 Painel de Arquitetura </t>
  </si>
  <si>
    <t>3.1.5 COE Integração</t>
  </si>
  <si>
    <t>DELIVERY</t>
  </si>
  <si>
    <t>SDK</t>
  </si>
  <si>
    <t>Entrega</t>
  </si>
  <si>
    <t>DESENVOLVIMENTO</t>
  </si>
  <si>
    <t>DEV FRONT</t>
  </si>
  <si>
    <t>Alocação time</t>
  </si>
  <si>
    <t>Kickoff</t>
  </si>
  <si>
    <t>Desenvolvimento</t>
  </si>
  <si>
    <t>DEV BACK</t>
  </si>
  <si>
    <t>ANALYTICS</t>
  </si>
  <si>
    <t>5. QA</t>
  </si>
  <si>
    <t>5.1 QA - Teste Funcional</t>
  </si>
  <si>
    <t xml:space="preserve">5.2 HOM Negócios </t>
  </si>
  <si>
    <t>6. Rollout</t>
  </si>
  <si>
    <t>a</t>
  </si>
  <si>
    <t>q</t>
  </si>
  <si>
    <t>x</t>
  </si>
  <si>
    <r>
      <rPr>
        <b/>
        <sz val="12"/>
        <color theme="3" tint="0.499984740745262"/>
        <rFont val="Webdings"/>
        <family val="1"/>
        <charset val="2"/>
      </rPr>
      <t>q</t>
    </r>
    <r>
      <rPr>
        <b/>
        <sz val="9"/>
        <color rgb="FFFFFFFF"/>
        <rFont val="Calibri"/>
        <family val="2"/>
      </rPr>
      <t xml:space="preserve"> (q) </t>
    </r>
    <r>
      <rPr>
        <b/>
        <sz val="9"/>
        <color theme="0" tint="-0.499984740745262"/>
        <rFont val="Calibri"/>
        <family val="2"/>
      </rPr>
      <t>Em andamento</t>
    </r>
  </si>
  <si>
    <r>
      <rPr>
        <b/>
        <sz val="14"/>
        <color theme="9"/>
        <rFont val="Webdings"/>
        <family val="1"/>
        <charset val="2"/>
      </rPr>
      <t>a</t>
    </r>
    <r>
      <rPr>
        <b/>
        <sz val="9"/>
        <color rgb="FFFFFFFF"/>
        <rFont val="Calibri"/>
        <family val="2"/>
      </rPr>
      <t xml:space="preserve"> (a) </t>
    </r>
    <r>
      <rPr>
        <b/>
        <sz val="9"/>
        <color theme="0" tint="-0.499984740745262"/>
        <rFont val="Calibri"/>
        <family val="2"/>
      </rPr>
      <t>Concluído</t>
    </r>
  </si>
  <si>
    <r>
      <rPr>
        <b/>
        <sz val="14"/>
        <color rgb="FFAEAAAA"/>
        <rFont val="Webdings"/>
        <family val="1"/>
        <charset val="2"/>
      </rPr>
      <t>;</t>
    </r>
    <r>
      <rPr>
        <b/>
        <sz val="9"/>
        <color rgb="FFFFFFFF"/>
        <rFont val="Calibri"/>
        <family val="2"/>
      </rPr>
      <t xml:space="preserve"> (;) </t>
    </r>
    <r>
      <rPr>
        <b/>
        <sz val="9"/>
        <color theme="0" tint="-0.499984740745262"/>
        <rFont val="Calibri"/>
        <family val="2"/>
      </rPr>
      <t>Pendente</t>
    </r>
  </si>
  <si>
    <r>
      <rPr>
        <b/>
        <sz val="11"/>
        <color rgb="FFFFC000"/>
        <rFont val="Webdings"/>
        <family val="1"/>
        <charset val="2"/>
      </rPr>
      <t>i</t>
    </r>
    <r>
      <rPr>
        <b/>
        <sz val="9"/>
        <color rgb="FFFFFFFF"/>
        <rFont val="Calibri"/>
        <family val="2"/>
      </rPr>
      <t xml:space="preserve"> (i) </t>
    </r>
    <r>
      <rPr>
        <b/>
        <sz val="9"/>
        <color theme="0" tint="-0.499984740745262"/>
        <rFont val="Calibri"/>
        <family val="2"/>
      </rPr>
      <t>Ponto Atenção</t>
    </r>
  </si>
  <si>
    <r>
      <rPr>
        <b/>
        <sz val="11"/>
        <color rgb="FFFF0000"/>
        <rFont val="Webdings"/>
        <family val="1"/>
        <charset val="2"/>
      </rPr>
      <t>x</t>
    </r>
    <r>
      <rPr>
        <b/>
        <sz val="9"/>
        <color rgb="FFFFFFFF"/>
        <rFont val="Calibri"/>
        <family val="2"/>
      </rPr>
      <t xml:space="preserve"> (x) </t>
    </r>
    <r>
      <rPr>
        <b/>
        <sz val="9"/>
        <color theme="0" tint="-0.499984740745262"/>
        <rFont val="Calibri"/>
        <family val="2"/>
      </rPr>
      <t>Bloqueado</t>
    </r>
  </si>
  <si>
    <r>
      <rPr>
        <b/>
        <sz val="11"/>
        <color theme="4" tint="0.79998168889431442"/>
        <rFont val="Webdings"/>
        <family val="1"/>
        <charset val="2"/>
      </rPr>
      <t>r</t>
    </r>
    <r>
      <rPr>
        <b/>
        <sz val="9"/>
        <color rgb="FFFFFFFF"/>
        <rFont val="Calibri"/>
        <family val="2"/>
      </rPr>
      <t xml:space="preserve"> (r) </t>
    </r>
    <r>
      <rPr>
        <b/>
        <sz val="9"/>
        <color theme="0" tint="-0.499984740745262"/>
        <rFont val="Calibri"/>
        <family val="2"/>
      </rPr>
      <t>Cancelado</t>
    </r>
  </si>
  <si>
    <t>Solicitante: Tributário</t>
  </si>
  <si>
    <t>ETAPA</t>
  </si>
  <si>
    <t>Mapeamento</t>
  </si>
  <si>
    <t>SUB-ETAPA</t>
  </si>
  <si>
    <t>Solução</t>
  </si>
  <si>
    <t>SP0</t>
  </si>
  <si>
    <t>TESTES</t>
  </si>
  <si>
    <t>Fabrica</t>
  </si>
  <si>
    <t>Interno</t>
  </si>
  <si>
    <t>PROJETO PIS Cyber</t>
  </si>
  <si>
    <t>Inclusão de 12 contas de cyber segurança no calculo de pis cofins da Vivo</t>
  </si>
  <si>
    <t>Tecnologia:  C#</t>
  </si>
  <si>
    <t>Benefício: R$ 11.000.000,00</t>
  </si>
  <si>
    <t>Hebert</t>
  </si>
  <si>
    <t>Sandra</t>
  </si>
  <si>
    <t>Rodrigo P.</t>
  </si>
  <si>
    <t>Squad</t>
  </si>
  <si>
    <t>Minsait</t>
  </si>
  <si>
    <t>Inclusão de 12 contas de cyber segurança no cálculo de pis cofins da Vivo</t>
  </si>
  <si>
    <t>Trib1</t>
  </si>
  <si>
    <t>Trib3</t>
  </si>
  <si>
    <t>Arq</t>
  </si>
  <si>
    <t>AF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</si>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</sst>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dd/mm/yy;@"/>
    <numFmt numFmtId="165" formatCode="dd"/>
    <numFmt numFmtId="166" formatCode="[$-416]d\-mmm\-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9"/>
      <color rgb="FFAEAAAA"/>
      <name val="Webdings"/>
      <family val="1"/>
      <charset val="2"/>
    </font>
    <font>
      <b/>
      <sz val="12"/>
      <color theme="3" tint="0.499984740745262"/>
      <name val="Webdings"/>
      <family val="1"/>
      <charset val="2"/>
    </font>
    <font>
      <b/>
      <sz val="12"/>
      <color theme="9"/>
      <name val="Webdings"/>
      <family val="1"/>
      <charset val="2"/>
    </font>
    <font>
      <sz val="11"/>
      <color theme="1"/>
      <name val="Webdings"/>
      <family val="1"/>
      <charset val="2"/>
    </font>
    <font>
      <b/>
      <sz val="11"/>
      <color rgb="FF0070C0"/>
      <name val="Webdings"/>
      <family val="1"/>
      <charset val="2"/>
    </font>
    <font>
      <b/>
      <sz val="9"/>
      <color rgb="FFFFFFFF"/>
      <name val="Calibri"/>
      <family val="2"/>
    </font>
    <font>
      <sz val="9"/>
      <color theme="1"/>
      <name val="Calibri"/>
      <family val="2"/>
      <scheme val="minor"/>
    </font>
    <font>
      <b/>
      <sz val="11"/>
      <color theme="4" tint="0.79998168889431442"/>
      <name val="Webdings"/>
      <family val="1"/>
      <charset val="2"/>
    </font>
    <font>
      <b/>
      <sz val="11"/>
      <color rgb="FFFF0000"/>
      <name val="Webdings"/>
      <family val="1"/>
      <charset val="2"/>
    </font>
    <font>
      <b/>
      <sz val="11"/>
      <color rgb="FFFFC000"/>
      <name val="Webdings"/>
      <family val="1"/>
      <charset val="2"/>
    </font>
    <font>
      <b/>
      <sz val="14"/>
      <color theme="9"/>
      <name val="Webdings"/>
      <family val="1"/>
      <charset val="2"/>
    </font>
    <font>
      <b/>
      <sz val="14"/>
      <color rgb="FFAEAAAA"/>
      <name val="Webdings"/>
      <family val="1"/>
      <charset val="2"/>
    </font>
    <font>
      <b/>
      <sz val="9"/>
      <color theme="0" tint="-0.499984740745262"/>
      <name val="Calibri"/>
      <family val="2"/>
    </font>
    <font>
      <sz val="11"/>
      <color theme="0" tint="-0.499984740745262"/>
      <name val="Calibri"/>
      <family val="2"/>
      <scheme val="minor"/>
    </font>
    <font>
      <b/>
      <sz val="16"/>
      <color theme="0" tint="-0.499984740745262"/>
      <name val="Calibri"/>
      <family val="2"/>
      <scheme val="minor"/>
    </font>
    <font>
      <sz val="10"/>
      <color theme="0" tint="-0.499984740745262"/>
      <name val="Calibri Light"/>
      <family val="2"/>
      <scheme val="maj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57B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166" fontId="0" fillId="0" borderId="1" xfId="0" applyNumberForma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4" xfId="0" applyBorder="1"/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5" xfId="0" applyBorder="1"/>
    <xf numFmtId="166" fontId="0" fillId="0" borderId="2" xfId="0" applyNumberFormat="1" applyBorder="1" applyAlignment="1">
      <alignment horizontal="centerContinuous"/>
    </xf>
    <xf numFmtId="165" fontId="0" fillId="0" borderId="6" xfId="0" applyNumberFormat="1" applyBorder="1"/>
    <xf numFmtId="165" fontId="0" fillId="0" borderId="7" xfId="0" applyNumberFormat="1" applyBorder="1"/>
    <xf numFmtId="165" fontId="0" fillId="0" borderId="6" xfId="0" applyNumberFormat="1" applyBorder="1" applyAlignment="1">
      <alignment horizontal="center"/>
    </xf>
    <xf numFmtId="9" fontId="0" fillId="0" borderId="5" xfId="2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9" fontId="0" fillId="0" borderId="4" xfId="2" applyFont="1" applyBorder="1" applyAlignment="1">
      <alignment horizontal="center"/>
    </xf>
    <xf numFmtId="0" fontId="3" fillId="2" borderId="0" xfId="0" applyFont="1" applyFill="1" applyAlignment="1">
      <alignment horizontal="centerContinuous" vertical="center"/>
    </xf>
    <xf numFmtId="17" fontId="0" fillId="0" borderId="5" xfId="0" applyNumberFormat="1" applyBorder="1"/>
    <xf numFmtId="17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2" fillId="0" borderId="5" xfId="0" applyFont="1" applyBorder="1"/>
    <xf numFmtId="164" fontId="0" fillId="0" borderId="4" xfId="0" applyNumberFormat="1" applyBorder="1" applyAlignment="1">
      <alignment vertical="center"/>
    </xf>
    <xf numFmtId="0" fontId="3" fillId="4" borderId="0" xfId="0" applyFont="1" applyFill="1" applyAlignment="1">
      <alignment horizontal="centerContinuous" vertical="center"/>
    </xf>
    <xf numFmtId="17" fontId="5" fillId="4" borderId="0" xfId="0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44" fontId="11" fillId="0" borderId="4" xfId="1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44" fontId="10" fillId="0" borderId="4" xfId="1" applyFont="1" applyBorder="1" applyAlignment="1">
      <alignment horizontal="center"/>
    </xf>
    <xf numFmtId="44" fontId="12" fillId="0" borderId="4" xfId="1" applyFont="1" applyBorder="1" applyAlignment="1">
      <alignment horizontal="center"/>
    </xf>
    <xf numFmtId="44" fontId="16" fillId="0" borderId="4" xfId="1" applyFont="1" applyBorder="1" applyAlignment="1">
      <alignment horizontal="center"/>
    </xf>
    <xf numFmtId="0" fontId="7" fillId="5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5" borderId="0" xfId="0" applyFont="1" applyFill="1" applyAlignment="1">
      <alignment horizontal="right" vertical="center"/>
    </xf>
    <xf numFmtId="17" fontId="2" fillId="5" borderId="0" xfId="0" applyNumberFormat="1" applyFont="1" applyFill="1" applyAlignment="1">
      <alignment horizontal="right"/>
    </xf>
    <xf numFmtId="0" fontId="3" fillId="5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vertical="center"/>
    </xf>
    <xf numFmtId="0" fontId="14" fillId="5" borderId="0" xfId="0" applyFont="1" applyFill="1"/>
    <xf numFmtId="44" fontId="6" fillId="5" borderId="8" xfId="1" applyFont="1" applyFill="1" applyBorder="1" applyAlignment="1">
      <alignment vertical="top"/>
    </xf>
    <xf numFmtId="44" fontId="0" fillId="5" borderId="0" xfId="0" applyNumberFormat="1" applyFill="1"/>
    <xf numFmtId="164" fontId="21" fillId="5" borderId="0" xfId="0" applyNumberFormat="1" applyFont="1" applyFill="1"/>
    <xf numFmtId="0" fontId="21" fillId="5" borderId="0" xfId="0" applyFont="1" applyFill="1"/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left"/>
    </xf>
    <xf numFmtId="0" fontId="24" fillId="5" borderId="0" xfId="0" applyFont="1" applyFill="1"/>
    <xf numFmtId="0" fontId="23" fillId="5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/>
    </xf>
    <xf numFmtId="0" fontId="3" fillId="7" borderId="0" xfId="0" applyFont="1" applyFill="1" applyAlignment="1">
      <alignment horizontal="centerContinuous" vertical="center"/>
    </xf>
  </cellXfs>
  <cellStyles count="3">
    <cellStyle name="Moeda" xfId="1" builtinId="4"/>
    <cellStyle name="Normal" xfId="0" builtinId="0"/>
    <cellStyle name="Porcentagem" xfId="2" builtinId="5"/>
  </cellStyles>
  <dxfs count="20">
    <dxf>
      <fill>
        <patternFill patternType="solid">
          <bgColor theme="8" tint="-0.24994659260841701"/>
        </patternFill>
      </fill>
      <border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>
          <bgColor theme="9" tint="0.39994506668294322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 patternType="lightUp">
          <fgColor theme="0" tint="-0.499984740745262"/>
          <bgColor theme="0" tint="-0.1498764000366222"/>
        </patternFill>
      </fill>
    </dxf>
    <dxf>
      <fill>
        <patternFill patternType="lightUp">
          <fgColor rgb="FFFF000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 patternType="solid">
          <bgColor theme="8" tint="-0.24994659260841701"/>
        </patternFill>
      </fill>
      <border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>
          <bgColor theme="9" tint="0.39994506668294322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 patternType="lightUp">
          <fgColor theme="0" tint="-0.499984740745262"/>
          <bgColor theme="0" tint="-0.1498764000366222"/>
        </patternFill>
      </fill>
    </dxf>
    <dxf>
      <fill>
        <patternFill patternType="lightUp">
          <fgColor rgb="FFFF000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 patternType="solid">
          <bgColor theme="8" tint="-0.24994659260841701"/>
        </patternFill>
      </fill>
      <border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>
          <bgColor theme="9" tint="0.39994506668294322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 patternType="lightUp">
          <fgColor theme="0" tint="-0.499984740745262"/>
          <bgColor theme="0" tint="-0.1498764000366222"/>
        </patternFill>
      </fill>
    </dxf>
    <dxf>
      <fill>
        <patternFill patternType="lightUp">
          <fgColor rgb="FFFF000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 patternType="solid">
          <bgColor theme="8" tint="-0.24994659260841701"/>
        </patternFill>
      </fill>
      <border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>
          <bgColor theme="9" tint="0.39994506668294322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 patternType="lightUp">
          <fgColor theme="0" tint="-0.499984740745262"/>
          <bgColor theme="0" tint="-0.1498764000366222"/>
        </patternFill>
      </fill>
    </dxf>
    <dxf>
      <fill>
        <patternFill patternType="lightUp">
          <fgColor rgb="FFFF000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</dxfs>
  <tableStyles count="0" defaultTableStyle="TableStyleMedium2" defaultPivotStyle="PivotStyleLight16"/>
  <colors>
    <mruColors>
      <color rgb="FFC57BD7"/>
      <color rgb="FFF6D8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croll" dx="31" fmlaLink="$M$2" horiz="1" max="100" page="0"/>
</file>

<file path=xl/ctrlProps/ctrlProp2.xml><?xml version="1.0" encoding="utf-8"?>
<formControlPr xmlns="http://schemas.microsoft.com/office/spreadsheetml/2009/9/main" objectType="Scroll" dx="31" fmlaLink="$M$2" horiz="1" max="100" page="0"/>
</file>

<file path=xl/ctrlProps/ctrlProp3.xml><?xml version="1.0" encoding="utf-8"?>
<formControlPr xmlns="http://schemas.microsoft.com/office/spreadsheetml/2009/9/main" objectType="Scroll" dx="31" fmlaLink="$M$2" horiz="1" max="100" page="0"/>
</file>

<file path=xl/ctrlProps/ctrlProp4.xml><?xml version="1.0" encoding="utf-8"?>
<formControlPr xmlns="http://schemas.microsoft.com/office/spreadsheetml/2009/9/main" objectType="Scroll" dx="31" fmlaLink="$M$2" horiz="1" max="100" page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12700</xdr:colOff>
          <xdr:row>1</xdr:row>
          <xdr:rowOff>50800</xdr:rowOff>
        </xdr:from>
        <xdr:to>
          <xdr:col>18</xdr:col>
          <xdr:colOff>165100</xdr:colOff>
          <xdr:row>2</xdr:row>
          <xdr:rowOff>57150</xdr:rowOff>
        </xdr:to>
        <xdr:sp macro="" textlink="">
          <xdr:nvSpPr>
            <xdr:cNvPr id="2050" name="Scroll Ba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15916</xdr:colOff>
      <xdr:row>0</xdr:row>
      <xdr:rowOff>34893</xdr:rowOff>
    </xdr:from>
    <xdr:to>
      <xdr:col>1</xdr:col>
      <xdr:colOff>189387</xdr:colOff>
      <xdr:row>1</xdr:row>
      <xdr:rowOff>222807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5916" y="34893"/>
          <a:ext cx="708208" cy="355019"/>
          <a:chOff x="191994" y="170602"/>
          <a:chExt cx="1342479" cy="713549"/>
        </a:xfrm>
      </xdr:grpSpPr>
      <xdr:pic>
        <xdr:nvPicPr>
          <xdr:cNvPr id="3" name="Imagem 2" descr="Vivo (VIVT4): empresa quer migrar da telefonia para a tecnologia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1994" y="170602"/>
            <a:ext cx="1342479" cy="7135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62121" y="452252"/>
            <a:ext cx="423334" cy="41701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12700</xdr:colOff>
          <xdr:row>1</xdr:row>
          <xdr:rowOff>50800</xdr:rowOff>
        </xdr:from>
        <xdr:to>
          <xdr:col>18</xdr:col>
          <xdr:colOff>165100</xdr:colOff>
          <xdr:row>2</xdr:row>
          <xdr:rowOff>139700</xdr:rowOff>
        </xdr:to>
        <xdr:sp macro="" textlink="">
          <xdr:nvSpPr>
            <xdr:cNvPr id="11265" name="Scroll Bar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91C5A3D3-A6D3-4F1A-8A68-1855CCFE6F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15916</xdr:colOff>
      <xdr:row>0</xdr:row>
      <xdr:rowOff>34893</xdr:rowOff>
    </xdr:from>
    <xdr:to>
      <xdr:col>1</xdr:col>
      <xdr:colOff>189387</xdr:colOff>
      <xdr:row>2</xdr:row>
      <xdr:rowOff>557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0E91759-8F6E-448D-9EB0-5DF12ED992F4}"/>
            </a:ext>
          </a:extLst>
        </xdr:cNvPr>
        <xdr:cNvGrpSpPr/>
      </xdr:nvGrpSpPr>
      <xdr:grpSpPr>
        <a:xfrm>
          <a:off x="15916" y="34893"/>
          <a:ext cx="719571" cy="410164"/>
          <a:chOff x="191994" y="170602"/>
          <a:chExt cx="1342479" cy="713549"/>
        </a:xfrm>
      </xdr:grpSpPr>
      <xdr:pic>
        <xdr:nvPicPr>
          <xdr:cNvPr id="3" name="Imagem 2" descr="Vivo (VIVT4): empresa quer migrar da telefonia para a tecnologia">
            <a:extLst>
              <a:ext uri="{FF2B5EF4-FFF2-40B4-BE49-F238E27FC236}">
                <a16:creationId xmlns:a16="http://schemas.microsoft.com/office/drawing/2014/main" id="{5702D9FF-8AED-85D6-4A82-5C0FE9827B9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1994" y="170602"/>
            <a:ext cx="1342479" cy="7135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FC1E3586-C56B-D1EA-09C0-DED8B7DB2C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62121" y="452252"/>
            <a:ext cx="423334" cy="417016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12700</xdr:colOff>
          <xdr:row>1</xdr:row>
          <xdr:rowOff>50800</xdr:rowOff>
        </xdr:from>
        <xdr:to>
          <xdr:col>18</xdr:col>
          <xdr:colOff>165100</xdr:colOff>
          <xdr:row>3</xdr:row>
          <xdr:rowOff>38100</xdr:rowOff>
        </xdr:to>
        <xdr:sp macro="" textlink="">
          <xdr:nvSpPr>
            <xdr:cNvPr id="12289" name="Scroll Bar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D6BB3B11-C1AF-431C-8A21-F1327BE724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15916</xdr:colOff>
      <xdr:row>0</xdr:row>
      <xdr:rowOff>34893</xdr:rowOff>
    </xdr:from>
    <xdr:to>
      <xdr:col>1</xdr:col>
      <xdr:colOff>189387</xdr:colOff>
      <xdr:row>2</xdr:row>
      <xdr:rowOff>557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529BC378-02CE-42C9-A1AA-AA135266C9F9}"/>
            </a:ext>
          </a:extLst>
        </xdr:cNvPr>
        <xdr:cNvGrpSpPr/>
      </xdr:nvGrpSpPr>
      <xdr:grpSpPr>
        <a:xfrm>
          <a:off x="15916" y="34893"/>
          <a:ext cx="719571" cy="410164"/>
          <a:chOff x="191994" y="170602"/>
          <a:chExt cx="1342479" cy="713549"/>
        </a:xfrm>
      </xdr:grpSpPr>
      <xdr:pic>
        <xdr:nvPicPr>
          <xdr:cNvPr id="3" name="Imagem 2" descr="Vivo (VIVT4): empresa quer migrar da telefonia para a tecnologia">
            <a:extLst>
              <a:ext uri="{FF2B5EF4-FFF2-40B4-BE49-F238E27FC236}">
                <a16:creationId xmlns:a16="http://schemas.microsoft.com/office/drawing/2014/main" id="{4E44F257-AEDC-7F83-E328-1A3F6C2281D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1994" y="170602"/>
            <a:ext cx="1342479" cy="7135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E7895229-FCDC-333E-4283-E86FF7CA0C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62121" y="452252"/>
            <a:ext cx="423334" cy="417016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12700</xdr:colOff>
          <xdr:row>1</xdr:row>
          <xdr:rowOff>50800</xdr:rowOff>
        </xdr:from>
        <xdr:to>
          <xdr:col>18</xdr:col>
          <xdr:colOff>165100</xdr:colOff>
          <xdr:row>2</xdr:row>
          <xdr:rowOff>139700</xdr:rowOff>
        </xdr:to>
        <xdr:sp macro="" textlink="">
          <xdr:nvSpPr>
            <xdr:cNvPr id="13313" name="Scroll Bar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36114FD3-2340-4774-B89B-DD4B200D98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15916</xdr:colOff>
      <xdr:row>0</xdr:row>
      <xdr:rowOff>34893</xdr:rowOff>
    </xdr:from>
    <xdr:to>
      <xdr:col>1</xdr:col>
      <xdr:colOff>189387</xdr:colOff>
      <xdr:row>2</xdr:row>
      <xdr:rowOff>557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A23830A9-692F-406F-906B-1DAA47B50720}"/>
            </a:ext>
          </a:extLst>
        </xdr:cNvPr>
        <xdr:cNvGrpSpPr/>
      </xdr:nvGrpSpPr>
      <xdr:grpSpPr>
        <a:xfrm>
          <a:off x="15916" y="34893"/>
          <a:ext cx="719571" cy="410164"/>
          <a:chOff x="191994" y="170602"/>
          <a:chExt cx="1342479" cy="713549"/>
        </a:xfrm>
      </xdr:grpSpPr>
      <xdr:pic>
        <xdr:nvPicPr>
          <xdr:cNvPr id="3" name="Imagem 2" descr="Vivo (VIVT4): empresa quer migrar da telefonia para a tecnologia">
            <a:extLst>
              <a:ext uri="{FF2B5EF4-FFF2-40B4-BE49-F238E27FC236}">
                <a16:creationId xmlns:a16="http://schemas.microsoft.com/office/drawing/2014/main" id="{636E0D14-79BF-A84A-9A98-56F630E4E38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1994" y="170602"/>
            <a:ext cx="1342479" cy="7135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29835410-D668-240A-28EE-5747293013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62121" y="452252"/>
            <a:ext cx="423334" cy="41701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5D89-D108-40FA-8702-A3E057EA69AD}">
  <dimension ref="A1:CF47"/>
  <sheetViews>
    <sheetView showGridLines="0" tabSelected="1" zoomScale="57" zoomScaleNormal="57" workbookViewId="0">
      <selection activeCell="D19" sqref="D19"/>
    </sheetView>
  </sheetViews>
  <sheetFormatPr defaultRowHeight="14.5" outlineLevelCol="1" x14ac:dyDescent="0.35"/>
  <cols>
    <col min="1" max="1" width="7.7265625" style="38" bestFit="1" customWidth="1"/>
    <col min="2" max="2" width="15.26953125" customWidth="1"/>
    <col min="3" max="3" width="33.90625" style="3" customWidth="1"/>
    <col min="4" max="4" width="16.81640625" customWidth="1" outlineLevel="1"/>
    <col min="5" max="5" width="15.08984375" customWidth="1" outlineLevel="1"/>
    <col min="6" max="6" width="6.453125" customWidth="1" outlineLevel="1"/>
    <col min="7" max="7" width="17.81640625" bestFit="1" customWidth="1" outlineLevel="1"/>
    <col min="8" max="8" width="11.08984375" customWidth="1" outlineLevel="1"/>
    <col min="9" max="10" width="11" bestFit="1" customWidth="1"/>
    <col min="11" max="11" width="9.453125" bestFit="1" customWidth="1"/>
    <col min="12" max="12" width="16.7265625" bestFit="1" customWidth="1"/>
    <col min="13" max="13" width="11.08984375" bestFit="1" customWidth="1"/>
    <col min="14" max="14" width="3" style="3" bestFit="1" customWidth="1"/>
    <col min="15" max="15" width="3" bestFit="1" customWidth="1"/>
    <col min="16" max="16" width="6.90625" bestFit="1" customWidth="1"/>
    <col min="17" max="56" width="3" bestFit="1" customWidth="1"/>
    <col min="57" max="83" width="3.08984375" bestFit="1" customWidth="1"/>
  </cols>
  <sheetData>
    <row r="1" spans="1:84" s="42" customFormat="1" ht="13.5" customHeight="1" x14ac:dyDescent="0.35">
      <c r="A1" s="37"/>
      <c r="B1" s="41"/>
      <c r="C1" s="50"/>
      <c r="D1" s="41"/>
      <c r="E1" s="44" t="s">
        <v>38</v>
      </c>
      <c r="F1" s="45"/>
      <c r="G1" s="44" t="s">
        <v>41</v>
      </c>
      <c r="I1" s="42" t="s">
        <v>60</v>
      </c>
      <c r="J1" s="42" t="s">
        <v>63</v>
      </c>
      <c r="L1" s="49" t="s">
        <v>4</v>
      </c>
      <c r="M1" s="48">
        <v>45992</v>
      </c>
      <c r="N1" s="43"/>
    </row>
    <row r="2" spans="1:84" s="42" customFormat="1" ht="21" x14ac:dyDescent="0.5">
      <c r="A2" s="37"/>
      <c r="B2" s="41"/>
      <c r="C2" s="54" t="s">
        <v>53</v>
      </c>
      <c r="D2" s="54"/>
      <c r="E2" s="44" t="s">
        <v>39</v>
      </c>
      <c r="F2" s="45"/>
      <c r="G2" s="44" t="s">
        <v>42</v>
      </c>
      <c r="I2" s="42" t="s">
        <v>65</v>
      </c>
      <c r="J2" s="42" t="s">
        <v>57</v>
      </c>
      <c r="L2" s="49" t="s">
        <v>5</v>
      </c>
      <c r="M2" s="49">
        <v>1</v>
      </c>
      <c r="N2" s="43"/>
    </row>
    <row r="3" spans="1:84" s="42" customFormat="1" ht="18" x14ac:dyDescent="0.35">
      <c r="A3" s="51" t="s">
        <v>55</v>
      </c>
      <c r="B3" s="41"/>
      <c r="C3" s="53" t="s">
        <v>54</v>
      </c>
      <c r="D3" s="53"/>
      <c r="E3" s="44" t="s">
        <v>40</v>
      </c>
      <c r="F3" s="45"/>
      <c r="G3" s="44" t="s">
        <v>43</v>
      </c>
      <c r="I3" s="42" t="s">
        <v>66</v>
      </c>
      <c r="J3" s="42" t="s">
        <v>58</v>
      </c>
      <c r="M3" s="49"/>
      <c r="N3" s="43"/>
    </row>
    <row r="4" spans="1:84" s="42" customFormat="1" x14ac:dyDescent="0.35">
      <c r="A4" s="51" t="s">
        <v>51</v>
      </c>
      <c r="B4" s="52" t="s">
        <v>52</v>
      </c>
      <c r="C4" s="53"/>
      <c r="D4" s="53"/>
      <c r="E4" s="44"/>
      <c r="F4" s="45"/>
      <c r="G4" s="44"/>
      <c r="I4" s="42" t="s">
        <v>67</v>
      </c>
      <c r="J4" s="42" t="s">
        <v>59</v>
      </c>
      <c r="M4" s="49"/>
      <c r="N4" s="43"/>
    </row>
    <row r="5" spans="1:84" ht="21.5" customHeight="1" x14ac:dyDescent="0.35">
      <c r="A5" s="51" t="s">
        <v>44</v>
      </c>
      <c r="B5" s="50"/>
      <c r="C5" s="53"/>
      <c r="D5" s="53"/>
      <c r="E5" s="46"/>
      <c r="F5" s="42"/>
      <c r="G5" s="47"/>
      <c r="H5" s="42"/>
      <c r="I5" s="42"/>
      <c r="J5" s="42"/>
      <c r="K5" s="42"/>
      <c r="L5" s="42"/>
      <c r="M5" s="42"/>
      <c r="N5" s="7">
        <f>N6</f>
        <v>45998</v>
      </c>
      <c r="O5" s="8"/>
      <c r="P5" s="8"/>
      <c r="Q5" s="8"/>
      <c r="R5" s="8"/>
      <c r="S5" s="8"/>
      <c r="T5" s="9"/>
      <c r="U5" s="7">
        <f>U6</f>
        <v>46005</v>
      </c>
      <c r="V5" s="8"/>
      <c r="W5" s="8"/>
      <c r="X5" s="8"/>
      <c r="Y5" s="8"/>
      <c r="Z5" s="8"/>
      <c r="AA5" s="9"/>
      <c r="AB5" s="14">
        <f>AB6</f>
        <v>46012</v>
      </c>
      <c r="AC5" s="8"/>
      <c r="AD5" s="8"/>
      <c r="AE5" s="8"/>
      <c r="AF5" s="8"/>
      <c r="AG5" s="8"/>
      <c r="AH5" s="8"/>
      <c r="AI5" s="7">
        <f>AI6</f>
        <v>46019</v>
      </c>
      <c r="AJ5" s="8"/>
      <c r="AK5" s="8"/>
      <c r="AL5" s="8"/>
      <c r="AM5" s="8"/>
      <c r="AN5" s="8"/>
      <c r="AO5" s="9"/>
      <c r="AP5" s="14">
        <f>AP6</f>
        <v>46026</v>
      </c>
      <c r="AQ5" s="8"/>
      <c r="AR5" s="8"/>
      <c r="AS5" s="8"/>
      <c r="AT5" s="8"/>
      <c r="AU5" s="8"/>
      <c r="AV5" s="8"/>
      <c r="AW5" s="7">
        <f>AW6</f>
        <v>46033</v>
      </c>
      <c r="AX5" s="8"/>
      <c r="AY5" s="8"/>
      <c r="AZ5" s="8"/>
      <c r="BA5" s="8"/>
      <c r="BB5" s="8"/>
      <c r="BC5" s="9"/>
      <c r="BD5" s="14">
        <f>BD6</f>
        <v>46040</v>
      </c>
      <c r="BE5" s="8"/>
      <c r="BF5" s="8"/>
      <c r="BG5" s="8"/>
      <c r="BH5" s="8"/>
      <c r="BI5" s="8"/>
      <c r="BJ5" s="8"/>
      <c r="BK5" s="7">
        <f>BK6</f>
        <v>46047</v>
      </c>
      <c r="BL5" s="8"/>
      <c r="BM5" s="8"/>
      <c r="BN5" s="8"/>
      <c r="BO5" s="8"/>
      <c r="BP5" s="8"/>
      <c r="BQ5" s="9"/>
      <c r="BR5" s="14">
        <f>BR6</f>
        <v>46054</v>
      </c>
      <c r="BS5" s="8"/>
      <c r="BT5" s="8"/>
      <c r="BU5" s="8"/>
      <c r="BV5" s="8"/>
      <c r="BW5" s="8"/>
      <c r="BX5" s="8"/>
      <c r="BY5" s="7">
        <f>BY6</f>
        <v>46061</v>
      </c>
      <c r="BZ5" s="8"/>
      <c r="CA5" s="8"/>
      <c r="CB5" s="8"/>
      <c r="CC5" s="8"/>
      <c r="CD5" s="8"/>
      <c r="CE5" s="9"/>
    </row>
    <row r="6" spans="1:84" x14ac:dyDescent="0.35">
      <c r="A6" s="51" t="s">
        <v>56</v>
      </c>
      <c r="B6" s="50"/>
      <c r="C6" s="50"/>
      <c r="D6" s="55" t="s">
        <v>7</v>
      </c>
      <c r="E6" s="29"/>
      <c r="F6" s="29"/>
      <c r="G6" s="29"/>
      <c r="H6" s="30"/>
      <c r="I6" s="22" t="s">
        <v>8</v>
      </c>
      <c r="J6" s="22"/>
      <c r="K6" s="22"/>
      <c r="L6" s="22"/>
      <c r="M6" s="22"/>
      <c r="N6" s="17">
        <f>$M$1+7*M2-WEEKDAY($M$1,2)</f>
        <v>45998</v>
      </c>
      <c r="O6" s="2">
        <f>N6+1</f>
        <v>45999</v>
      </c>
      <c r="P6" s="2">
        <f t="shared" ref="P6:V6" si="0">O6+1</f>
        <v>46000</v>
      </c>
      <c r="Q6" s="2">
        <f t="shared" si="0"/>
        <v>46001</v>
      </c>
      <c r="R6" s="2">
        <f t="shared" si="0"/>
        <v>46002</v>
      </c>
      <c r="S6" s="2">
        <f t="shared" si="0"/>
        <v>46003</v>
      </c>
      <c r="T6" s="16">
        <f t="shared" si="0"/>
        <v>46004</v>
      </c>
      <c r="U6" s="15">
        <f t="shared" si="0"/>
        <v>46005</v>
      </c>
      <c r="V6" s="2">
        <f t="shared" si="0"/>
        <v>46006</v>
      </c>
      <c r="W6" s="2">
        <f t="shared" ref="W6:CE6" si="1">V6+1</f>
        <v>46007</v>
      </c>
      <c r="X6" s="2">
        <f t="shared" si="1"/>
        <v>46008</v>
      </c>
      <c r="Y6" s="2">
        <f t="shared" si="1"/>
        <v>46009</v>
      </c>
      <c r="Z6" s="2">
        <f t="shared" si="1"/>
        <v>46010</v>
      </c>
      <c r="AA6" s="16">
        <f t="shared" si="1"/>
        <v>46011</v>
      </c>
      <c r="AB6" s="2">
        <f t="shared" si="1"/>
        <v>46012</v>
      </c>
      <c r="AC6" s="2">
        <f t="shared" si="1"/>
        <v>46013</v>
      </c>
      <c r="AD6" s="2">
        <f t="shared" si="1"/>
        <v>46014</v>
      </c>
      <c r="AE6" s="2">
        <f t="shared" si="1"/>
        <v>46015</v>
      </c>
      <c r="AF6" s="2">
        <f t="shared" si="1"/>
        <v>46016</v>
      </c>
      <c r="AG6" s="2">
        <f t="shared" si="1"/>
        <v>46017</v>
      </c>
      <c r="AH6" s="2">
        <f t="shared" si="1"/>
        <v>46018</v>
      </c>
      <c r="AI6" s="15">
        <f t="shared" si="1"/>
        <v>46019</v>
      </c>
      <c r="AJ6" s="2">
        <f t="shared" si="1"/>
        <v>46020</v>
      </c>
      <c r="AK6" s="2">
        <f t="shared" si="1"/>
        <v>46021</v>
      </c>
      <c r="AL6" s="2">
        <f t="shared" si="1"/>
        <v>46022</v>
      </c>
      <c r="AM6" s="2">
        <f t="shared" si="1"/>
        <v>46023</v>
      </c>
      <c r="AN6" s="2">
        <f t="shared" si="1"/>
        <v>46024</v>
      </c>
      <c r="AO6" s="16">
        <f t="shared" si="1"/>
        <v>46025</v>
      </c>
      <c r="AP6" s="2">
        <f t="shared" si="1"/>
        <v>46026</v>
      </c>
      <c r="AQ6" s="2">
        <f t="shared" si="1"/>
        <v>46027</v>
      </c>
      <c r="AR6" s="2">
        <f t="shared" si="1"/>
        <v>46028</v>
      </c>
      <c r="AS6" s="2">
        <f t="shared" si="1"/>
        <v>46029</v>
      </c>
      <c r="AT6" s="2">
        <f t="shared" si="1"/>
        <v>46030</v>
      </c>
      <c r="AU6" s="2">
        <f t="shared" si="1"/>
        <v>46031</v>
      </c>
      <c r="AV6" s="2">
        <f t="shared" si="1"/>
        <v>46032</v>
      </c>
      <c r="AW6" s="15">
        <f t="shared" si="1"/>
        <v>46033</v>
      </c>
      <c r="AX6" s="2">
        <f t="shared" si="1"/>
        <v>46034</v>
      </c>
      <c r="AY6" s="2">
        <f t="shared" si="1"/>
        <v>46035</v>
      </c>
      <c r="AZ6" s="2">
        <f t="shared" si="1"/>
        <v>46036</v>
      </c>
      <c r="BA6" s="2">
        <f t="shared" si="1"/>
        <v>46037</v>
      </c>
      <c r="BB6" s="2">
        <f t="shared" si="1"/>
        <v>46038</v>
      </c>
      <c r="BC6" s="16">
        <f t="shared" si="1"/>
        <v>46039</v>
      </c>
      <c r="BD6" s="2">
        <f t="shared" si="1"/>
        <v>46040</v>
      </c>
      <c r="BE6" s="2">
        <f t="shared" si="1"/>
        <v>46041</v>
      </c>
      <c r="BF6" s="2">
        <f t="shared" si="1"/>
        <v>46042</v>
      </c>
      <c r="BG6" s="2">
        <f t="shared" si="1"/>
        <v>46043</v>
      </c>
      <c r="BH6" s="2">
        <f t="shared" si="1"/>
        <v>46044</v>
      </c>
      <c r="BI6" s="2">
        <f t="shared" si="1"/>
        <v>46045</v>
      </c>
      <c r="BJ6" s="2">
        <f t="shared" si="1"/>
        <v>46046</v>
      </c>
      <c r="BK6" s="15">
        <f t="shared" si="1"/>
        <v>46047</v>
      </c>
      <c r="BL6" s="2">
        <f t="shared" si="1"/>
        <v>46048</v>
      </c>
      <c r="BM6" s="2">
        <f t="shared" si="1"/>
        <v>46049</v>
      </c>
      <c r="BN6" s="2">
        <f t="shared" si="1"/>
        <v>46050</v>
      </c>
      <c r="BO6" s="2">
        <f t="shared" si="1"/>
        <v>46051</v>
      </c>
      <c r="BP6" s="2">
        <f t="shared" si="1"/>
        <v>46052</v>
      </c>
      <c r="BQ6" s="16">
        <f t="shared" si="1"/>
        <v>46053</v>
      </c>
      <c r="BR6" s="2">
        <f t="shared" si="1"/>
        <v>46054</v>
      </c>
      <c r="BS6" s="2">
        <f t="shared" si="1"/>
        <v>46055</v>
      </c>
      <c r="BT6" s="2">
        <f t="shared" si="1"/>
        <v>46056</v>
      </c>
      <c r="BU6" s="2">
        <f t="shared" si="1"/>
        <v>46057</v>
      </c>
      <c r="BV6" s="2">
        <f t="shared" si="1"/>
        <v>46058</v>
      </c>
      <c r="BW6" s="2">
        <f t="shared" si="1"/>
        <v>46059</v>
      </c>
      <c r="BX6" s="2">
        <f t="shared" si="1"/>
        <v>46060</v>
      </c>
      <c r="BY6" s="15">
        <f t="shared" si="1"/>
        <v>46061</v>
      </c>
      <c r="BZ6" s="2">
        <f t="shared" si="1"/>
        <v>46062</v>
      </c>
      <c r="CA6" s="2">
        <f t="shared" si="1"/>
        <v>46063</v>
      </c>
      <c r="CB6" s="2">
        <f t="shared" si="1"/>
        <v>46064</v>
      </c>
      <c r="CC6" s="2">
        <f t="shared" si="1"/>
        <v>46065</v>
      </c>
      <c r="CD6" s="2">
        <f t="shared" si="1"/>
        <v>46066</v>
      </c>
      <c r="CE6" s="16">
        <f t="shared" si="1"/>
        <v>46067</v>
      </c>
    </row>
    <row r="7" spans="1:84" s="6" customFormat="1" ht="28" customHeight="1" x14ac:dyDescent="0.35">
      <c r="A7" s="39"/>
      <c r="B7" s="31" t="s">
        <v>11</v>
      </c>
      <c r="C7" s="31" t="s">
        <v>10</v>
      </c>
      <c r="D7" s="31" t="s">
        <v>0</v>
      </c>
      <c r="E7" s="31" t="s">
        <v>1</v>
      </c>
      <c r="F7" s="31" t="s">
        <v>6</v>
      </c>
      <c r="G7" s="31" t="s">
        <v>9</v>
      </c>
      <c r="H7" s="31" t="s">
        <v>2</v>
      </c>
      <c r="I7" s="20" t="s">
        <v>0</v>
      </c>
      <c r="J7" s="20" t="s">
        <v>1</v>
      </c>
      <c r="K7" s="20" t="s">
        <v>3</v>
      </c>
      <c r="L7" s="20" t="s">
        <v>9</v>
      </c>
      <c r="M7" s="20" t="s">
        <v>2</v>
      </c>
      <c r="N7" s="4" t="str">
        <f>LEFT(UPPER(TEXT(WEEKDAY(N6),"DDD")),1)</f>
        <v>D</v>
      </c>
      <c r="O7" s="4" t="str">
        <f>LEFT(UPPER(TEXT(WEEKDAY(O6),"DDD")),1)</f>
        <v>S</v>
      </c>
      <c r="P7" s="4" t="str">
        <f t="shared" ref="P7:V7" si="2">LEFT(UPPER(TEXT(WEEKDAY(P6),"DDD")),1)</f>
        <v>T</v>
      </c>
      <c r="Q7" s="4" t="str">
        <f t="shared" si="2"/>
        <v>Q</v>
      </c>
      <c r="R7" s="4" t="str">
        <f t="shared" si="2"/>
        <v>Q</v>
      </c>
      <c r="S7" s="4" t="str">
        <f t="shared" si="2"/>
        <v>S</v>
      </c>
      <c r="T7" s="4" t="str">
        <f t="shared" si="2"/>
        <v>S</v>
      </c>
      <c r="U7" s="4" t="str">
        <f t="shared" si="2"/>
        <v>D</v>
      </c>
      <c r="V7" s="4" t="str">
        <f t="shared" si="2"/>
        <v>S</v>
      </c>
      <c r="W7" s="5" t="str">
        <f t="shared" ref="W7" si="3">LEFT(UPPER(TEXT(WEEKDAY(W6),"DDD")),1)</f>
        <v>T</v>
      </c>
      <c r="X7" s="5" t="str">
        <f t="shared" ref="X7" si="4">LEFT(UPPER(TEXT(WEEKDAY(X6),"DDD")),1)</f>
        <v>Q</v>
      </c>
      <c r="Y7" s="5" t="str">
        <f t="shared" ref="Y7" si="5">LEFT(UPPER(TEXT(WEEKDAY(Y6),"DDD")),1)</f>
        <v>Q</v>
      </c>
      <c r="Z7" s="5" t="str">
        <f t="shared" ref="Z7" si="6">LEFT(UPPER(TEXT(WEEKDAY(Z6),"DDD")),1)</f>
        <v>S</v>
      </c>
      <c r="AA7" s="5" t="str">
        <f t="shared" ref="AA7" si="7">LEFT(UPPER(TEXT(WEEKDAY(AA6),"DDD")),1)</f>
        <v>S</v>
      </c>
      <c r="AB7" s="5" t="str">
        <f t="shared" ref="AB7" si="8">LEFT(UPPER(TEXT(WEEKDAY(AB6),"DDD")),1)</f>
        <v>D</v>
      </c>
      <c r="AC7" s="5" t="str">
        <f t="shared" ref="AC7" si="9">LEFT(UPPER(TEXT(WEEKDAY(AC6),"DDD")),1)</f>
        <v>S</v>
      </c>
      <c r="AD7" s="5" t="str">
        <f t="shared" ref="AD7" si="10">LEFT(UPPER(TEXT(WEEKDAY(AD6),"DDD")),1)</f>
        <v>T</v>
      </c>
      <c r="AE7" s="5" t="str">
        <f t="shared" ref="AE7" si="11">LEFT(UPPER(TEXT(WEEKDAY(AE6),"DDD")),1)</f>
        <v>Q</v>
      </c>
      <c r="AF7" s="5" t="str">
        <f t="shared" ref="AF7" si="12">LEFT(UPPER(TEXT(WEEKDAY(AF6),"DDD")),1)</f>
        <v>Q</v>
      </c>
      <c r="AG7" s="5" t="str">
        <f t="shared" ref="AG7" si="13">LEFT(UPPER(TEXT(WEEKDAY(AG6),"DDD")),1)</f>
        <v>S</v>
      </c>
      <c r="AH7" s="5" t="str">
        <f t="shared" ref="AH7" si="14">LEFT(UPPER(TEXT(WEEKDAY(AH6),"DDD")),1)</f>
        <v>S</v>
      </c>
      <c r="AI7" s="5" t="str">
        <f t="shared" ref="AI7" si="15">LEFT(UPPER(TEXT(WEEKDAY(AI6),"DDD")),1)</f>
        <v>D</v>
      </c>
      <c r="AJ7" s="5" t="str">
        <f t="shared" ref="AJ7" si="16">LEFT(UPPER(TEXT(WEEKDAY(AJ6),"DDD")),1)</f>
        <v>S</v>
      </c>
      <c r="AK7" s="5" t="str">
        <f t="shared" ref="AK7" si="17">LEFT(UPPER(TEXT(WEEKDAY(AK6),"DDD")),1)</f>
        <v>T</v>
      </c>
      <c r="AL7" s="5" t="str">
        <f t="shared" ref="AL7" si="18">LEFT(UPPER(TEXT(WEEKDAY(AL6),"DDD")),1)</f>
        <v>Q</v>
      </c>
      <c r="AM7" s="5" t="str">
        <f t="shared" ref="AM7" si="19">LEFT(UPPER(TEXT(WEEKDAY(AM6),"DDD")),1)</f>
        <v>Q</v>
      </c>
      <c r="AN7" s="5" t="str">
        <f t="shared" ref="AN7" si="20">LEFT(UPPER(TEXT(WEEKDAY(AN6),"DDD")),1)</f>
        <v>S</v>
      </c>
      <c r="AO7" s="5" t="str">
        <f t="shared" ref="AO7" si="21">LEFT(UPPER(TEXT(WEEKDAY(AO6),"DDD")),1)</f>
        <v>S</v>
      </c>
      <c r="AP7" s="5" t="str">
        <f t="shared" ref="AP7" si="22">LEFT(UPPER(TEXT(WEEKDAY(AP6),"DDD")),1)</f>
        <v>D</v>
      </c>
      <c r="AQ7" s="5" t="str">
        <f t="shared" ref="AQ7" si="23">LEFT(UPPER(TEXT(WEEKDAY(AQ6),"DDD")),1)</f>
        <v>S</v>
      </c>
      <c r="AR7" s="5" t="str">
        <f t="shared" ref="AR7" si="24">LEFT(UPPER(TEXT(WEEKDAY(AR6),"DDD")),1)</f>
        <v>T</v>
      </c>
      <c r="AS7" s="5" t="str">
        <f t="shared" ref="AS7" si="25">LEFT(UPPER(TEXT(WEEKDAY(AS6),"DDD")),1)</f>
        <v>Q</v>
      </c>
      <c r="AT7" s="5" t="str">
        <f t="shared" ref="AT7" si="26">LEFT(UPPER(TEXT(WEEKDAY(AT6),"DDD")),1)</f>
        <v>Q</v>
      </c>
      <c r="AU7" s="5" t="str">
        <f t="shared" ref="AU7" si="27">LEFT(UPPER(TEXT(WEEKDAY(AU6),"DDD")),1)</f>
        <v>S</v>
      </c>
      <c r="AV7" s="5" t="str">
        <f t="shared" ref="AV7" si="28">LEFT(UPPER(TEXT(WEEKDAY(AV6),"DDD")),1)</f>
        <v>S</v>
      </c>
      <c r="AW7" s="5" t="str">
        <f t="shared" ref="AW7" si="29">LEFT(UPPER(TEXT(WEEKDAY(AW6),"DDD")),1)</f>
        <v>D</v>
      </c>
      <c r="AX7" s="5" t="str">
        <f t="shared" ref="AX7" si="30">LEFT(UPPER(TEXT(WEEKDAY(AX6),"DDD")),1)</f>
        <v>S</v>
      </c>
      <c r="AY7" s="5" t="str">
        <f t="shared" ref="AY7" si="31">LEFT(UPPER(TEXT(WEEKDAY(AY6),"DDD")),1)</f>
        <v>T</v>
      </c>
      <c r="AZ7" s="5" t="str">
        <f t="shared" ref="AZ7" si="32">LEFT(UPPER(TEXT(WEEKDAY(AZ6),"DDD")),1)</f>
        <v>Q</v>
      </c>
      <c r="BA7" s="5" t="str">
        <f t="shared" ref="BA7" si="33">LEFT(UPPER(TEXT(WEEKDAY(BA6),"DDD")),1)</f>
        <v>Q</v>
      </c>
      <c r="BB7" s="5" t="str">
        <f t="shared" ref="BB7" si="34">LEFT(UPPER(TEXT(WEEKDAY(BB6),"DDD")),1)</f>
        <v>S</v>
      </c>
      <c r="BC7" s="5" t="str">
        <f t="shared" ref="BC7" si="35">LEFT(UPPER(TEXT(WEEKDAY(BC6),"DDD")),1)</f>
        <v>S</v>
      </c>
      <c r="BD7" s="5" t="str">
        <f t="shared" ref="BD7" si="36">LEFT(UPPER(TEXT(WEEKDAY(BD6),"DDD")),1)</f>
        <v>D</v>
      </c>
      <c r="BE7" s="5" t="str">
        <f t="shared" ref="BE7" si="37">LEFT(UPPER(TEXT(WEEKDAY(BE6),"DDD")),1)</f>
        <v>S</v>
      </c>
      <c r="BF7" s="5" t="str">
        <f t="shared" ref="BF7" si="38">LEFT(UPPER(TEXT(WEEKDAY(BF6),"DDD")),1)</f>
        <v>T</v>
      </c>
      <c r="BG7" s="5" t="str">
        <f t="shared" ref="BG7" si="39">LEFT(UPPER(TEXT(WEEKDAY(BG6),"DDD")),1)</f>
        <v>Q</v>
      </c>
      <c r="BH7" s="5" t="str">
        <f t="shared" ref="BH7" si="40">LEFT(UPPER(TEXT(WEEKDAY(BH6),"DDD")),1)</f>
        <v>Q</v>
      </c>
      <c r="BI7" s="5" t="str">
        <f t="shared" ref="BI7" si="41">LEFT(UPPER(TEXT(WEEKDAY(BI6),"DDD")),1)</f>
        <v>S</v>
      </c>
      <c r="BJ7" s="5" t="str">
        <f t="shared" ref="BJ7" si="42">LEFT(UPPER(TEXT(WEEKDAY(BJ6),"DDD")),1)</f>
        <v>S</v>
      </c>
      <c r="BK7" s="5" t="str">
        <f t="shared" ref="BK7" si="43">LEFT(UPPER(TEXT(WEEKDAY(BK6),"DDD")),1)</f>
        <v>D</v>
      </c>
      <c r="BL7" s="5" t="str">
        <f t="shared" ref="BL7" si="44">LEFT(UPPER(TEXT(WEEKDAY(BL6),"DDD")),1)</f>
        <v>S</v>
      </c>
      <c r="BM7" s="5" t="str">
        <f t="shared" ref="BM7" si="45">LEFT(UPPER(TEXT(WEEKDAY(BM6),"DDD")),1)</f>
        <v>T</v>
      </c>
      <c r="BN7" s="5" t="str">
        <f t="shared" ref="BN7" si="46">LEFT(UPPER(TEXT(WEEKDAY(BN6),"DDD")),1)</f>
        <v>Q</v>
      </c>
      <c r="BO7" s="5" t="str">
        <f t="shared" ref="BO7" si="47">LEFT(UPPER(TEXT(WEEKDAY(BO6),"DDD")),1)</f>
        <v>Q</v>
      </c>
      <c r="BP7" s="5" t="str">
        <f t="shared" ref="BP7" si="48">LEFT(UPPER(TEXT(WEEKDAY(BP6),"DDD")),1)</f>
        <v>S</v>
      </c>
      <c r="BQ7" s="5" t="str">
        <f t="shared" ref="BQ7" si="49">LEFT(UPPER(TEXT(WEEKDAY(BQ6),"DDD")),1)</f>
        <v>S</v>
      </c>
      <c r="BR7" s="5" t="str">
        <f t="shared" ref="BR7" si="50">LEFT(UPPER(TEXT(WEEKDAY(BR6),"DDD")),1)</f>
        <v>D</v>
      </c>
      <c r="BS7" s="5" t="str">
        <f t="shared" ref="BS7" si="51">LEFT(UPPER(TEXT(WEEKDAY(BS6),"DDD")),1)</f>
        <v>S</v>
      </c>
      <c r="BT7" s="5" t="str">
        <f t="shared" ref="BT7" si="52">LEFT(UPPER(TEXT(WEEKDAY(BT6),"DDD")),1)</f>
        <v>T</v>
      </c>
      <c r="BU7" s="5" t="str">
        <f t="shared" ref="BU7" si="53">LEFT(UPPER(TEXT(WEEKDAY(BU6),"DDD")),1)</f>
        <v>Q</v>
      </c>
      <c r="BV7" s="5" t="str">
        <f t="shared" ref="BV7" si="54">LEFT(UPPER(TEXT(WEEKDAY(BV6),"DDD")),1)</f>
        <v>Q</v>
      </c>
      <c r="BW7" s="5" t="str">
        <f t="shared" ref="BW7" si="55">LEFT(UPPER(TEXT(WEEKDAY(BW6),"DDD")),1)</f>
        <v>S</v>
      </c>
      <c r="BX7" s="5" t="str">
        <f t="shared" ref="BX7" si="56">LEFT(UPPER(TEXT(WEEKDAY(BX6),"DDD")),1)</f>
        <v>S</v>
      </c>
      <c r="BY7" s="5" t="str">
        <f t="shared" ref="BY7" si="57">LEFT(UPPER(TEXT(WEEKDAY(BY6),"DDD")),1)</f>
        <v>D</v>
      </c>
      <c r="BZ7" s="5" t="str">
        <f t="shared" ref="BZ7" si="58">LEFT(UPPER(TEXT(WEEKDAY(BZ6),"DDD")),1)</f>
        <v>S</v>
      </c>
      <c r="CA7" s="5" t="str">
        <f t="shared" ref="CA7" si="59">LEFT(UPPER(TEXT(WEEKDAY(CA6),"DDD")),1)</f>
        <v>T</v>
      </c>
      <c r="CB7" s="5" t="str">
        <f t="shared" ref="CB7" si="60">LEFT(UPPER(TEXT(WEEKDAY(CB6),"DDD")),1)</f>
        <v>Q</v>
      </c>
      <c r="CC7" s="5" t="str">
        <f t="shared" ref="CC7" si="61">LEFT(UPPER(TEXT(WEEKDAY(CC6),"DDD")),1)</f>
        <v>Q</v>
      </c>
      <c r="CD7" s="5" t="str">
        <f t="shared" ref="CD7" si="62">LEFT(UPPER(TEXT(WEEKDAY(CD6),"DDD")),1)</f>
        <v>S</v>
      </c>
      <c r="CE7" s="5" t="str">
        <f t="shared" ref="CE7" si="63">LEFT(UPPER(TEXT(WEEKDAY(CE6),"DDD")),1)</f>
        <v>S</v>
      </c>
      <c r="CF7"/>
    </row>
    <row r="8" spans="1:84" x14ac:dyDescent="0.35">
      <c r="A8" s="40"/>
      <c r="B8" s="23"/>
      <c r="C8" s="24"/>
      <c r="D8" s="12"/>
      <c r="E8" s="12"/>
      <c r="F8" s="11"/>
      <c r="G8" s="11"/>
      <c r="H8" s="18"/>
      <c r="I8" s="12"/>
      <c r="J8" s="19"/>
      <c r="K8" s="11"/>
      <c r="L8" s="26"/>
      <c r="M8" s="21"/>
      <c r="N8" s="12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</row>
    <row r="9" spans="1:84" x14ac:dyDescent="0.35">
      <c r="B9" s="13" t="s">
        <v>45</v>
      </c>
      <c r="C9" s="27" t="s">
        <v>12</v>
      </c>
      <c r="D9" s="28">
        <f>M1</f>
        <v>45992</v>
      </c>
      <c r="E9" s="12">
        <f>D9+F9</f>
        <v>45993</v>
      </c>
      <c r="F9" s="25">
        <v>1</v>
      </c>
      <c r="G9" s="32"/>
      <c r="H9" s="18">
        <f ca="1">IF(D9="",0,IF(D9&gt;TODAY(),0,IF(E9&lt;TODAY(),1,(TODAY()-D9)/(E9-D9))))</f>
        <v>1</v>
      </c>
      <c r="I9" s="1"/>
      <c r="J9" s="12"/>
      <c r="K9" s="11"/>
      <c r="L9" s="32"/>
      <c r="M9" s="21">
        <v>1</v>
      </c>
      <c r="N9" s="12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</row>
    <row r="10" spans="1:84" ht="15.5" x14ac:dyDescent="0.35">
      <c r="B10" s="13" t="s">
        <v>47</v>
      </c>
      <c r="C10" s="13" t="s">
        <v>46</v>
      </c>
      <c r="D10" s="28">
        <f>E9</f>
        <v>45993</v>
      </c>
      <c r="E10" s="12">
        <f>D10+F10</f>
        <v>45995</v>
      </c>
      <c r="F10" s="25">
        <v>2</v>
      </c>
      <c r="G10" s="34" t="s">
        <v>35</v>
      </c>
      <c r="H10" s="18">
        <v>1</v>
      </c>
      <c r="I10" s="1">
        <v>45968</v>
      </c>
      <c r="J10" s="12">
        <f>I10+K10</f>
        <v>45969</v>
      </c>
      <c r="K10" s="25">
        <v>1</v>
      </c>
      <c r="L10" s="34" t="s">
        <v>35</v>
      </c>
      <c r="M10" s="21">
        <v>1</v>
      </c>
      <c r="N10" s="1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</row>
    <row r="11" spans="1:84" ht="15.5" x14ac:dyDescent="0.35">
      <c r="A11" s="40"/>
      <c r="B11" s="13"/>
      <c r="C11" s="13" t="s">
        <v>13</v>
      </c>
      <c r="D11" s="28">
        <f t="shared" ref="D11:D18" si="64">E10</f>
        <v>45995</v>
      </c>
      <c r="E11" s="12">
        <f t="shared" ref="E11:E20" si="65">D11+F11</f>
        <v>45996</v>
      </c>
      <c r="F11" s="25">
        <v>1</v>
      </c>
      <c r="G11" s="34" t="s">
        <v>35</v>
      </c>
      <c r="H11" s="18">
        <v>1</v>
      </c>
      <c r="I11" s="28">
        <v>45974</v>
      </c>
      <c r="J11" s="12">
        <v>45671</v>
      </c>
      <c r="K11" s="25">
        <v>2</v>
      </c>
      <c r="L11" s="35" t="s">
        <v>36</v>
      </c>
      <c r="M11" s="21">
        <v>1</v>
      </c>
      <c r="N11" s="1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</row>
    <row r="12" spans="1:84" x14ac:dyDescent="0.35">
      <c r="A12" s="40"/>
      <c r="B12" s="13"/>
      <c r="C12" s="13" t="s">
        <v>14</v>
      </c>
      <c r="D12" s="28">
        <f t="shared" si="64"/>
        <v>45996</v>
      </c>
      <c r="E12" s="12">
        <f t="shared" si="65"/>
        <v>45998</v>
      </c>
      <c r="F12" s="25">
        <v>2</v>
      </c>
      <c r="G12" s="33"/>
      <c r="H12" s="18"/>
      <c r="I12" s="12"/>
      <c r="J12" s="12"/>
      <c r="K12" s="25"/>
      <c r="L12" s="33"/>
      <c r="M12" s="21"/>
      <c r="N12" s="11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</row>
    <row r="13" spans="1:84" x14ac:dyDescent="0.35">
      <c r="A13" s="40"/>
      <c r="B13" s="13" t="s">
        <v>47</v>
      </c>
      <c r="C13" s="13" t="s">
        <v>48</v>
      </c>
      <c r="D13" s="28">
        <f t="shared" si="64"/>
        <v>45998</v>
      </c>
      <c r="E13" s="12">
        <f t="shared" si="65"/>
        <v>46000</v>
      </c>
      <c r="F13" s="25">
        <v>2</v>
      </c>
      <c r="G13" s="36" t="s">
        <v>37</v>
      </c>
      <c r="H13" s="18">
        <f t="shared" ref="H13" ca="1" si="66">IF(D13="",0,IF(D13&gt;TODAY(),0,IF(E13&lt;TODAY(),1,(TODAY()-D13)/(E13-D13))))</f>
        <v>0</v>
      </c>
      <c r="I13" s="28">
        <v>45979</v>
      </c>
      <c r="J13" s="12">
        <v>45981</v>
      </c>
      <c r="K13" s="25"/>
      <c r="L13" s="32"/>
      <c r="M13" s="21">
        <v>1</v>
      </c>
      <c r="N13" s="11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</row>
    <row r="14" spans="1:84" x14ac:dyDescent="0.35">
      <c r="A14" s="40"/>
      <c r="B14" s="13"/>
      <c r="C14" s="13" t="s">
        <v>15</v>
      </c>
      <c r="D14" s="28">
        <f t="shared" si="64"/>
        <v>46000</v>
      </c>
      <c r="E14" s="12">
        <f t="shared" si="65"/>
        <v>46002.2</v>
      </c>
      <c r="F14" s="25">
        <v>2.2000000000000002</v>
      </c>
      <c r="G14" s="32"/>
      <c r="H14" s="18">
        <f ca="1">IF(D14="",0,IF(D14&gt;TODAY(),0,IF(E14&lt;TODAY(),1,(TODAY()-D14)/(E14-D14))))</f>
        <v>0</v>
      </c>
      <c r="I14" s="12">
        <v>45979</v>
      </c>
      <c r="J14" s="12">
        <v>45981</v>
      </c>
      <c r="K14" s="25"/>
      <c r="L14" s="32"/>
      <c r="M14" s="21">
        <v>1</v>
      </c>
      <c r="N14" s="11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</row>
    <row r="15" spans="1:84" x14ac:dyDescent="0.35">
      <c r="A15" s="40"/>
      <c r="B15" s="13"/>
      <c r="C15" s="13" t="s">
        <v>16</v>
      </c>
      <c r="D15" s="28">
        <f t="shared" si="64"/>
        <v>46002.2</v>
      </c>
      <c r="E15" s="12">
        <f t="shared" si="65"/>
        <v>46004.6</v>
      </c>
      <c r="F15" s="25">
        <v>2.4</v>
      </c>
      <c r="G15" s="33"/>
      <c r="H15" s="18"/>
      <c r="I15" s="12">
        <v>45972</v>
      </c>
      <c r="J15" s="12">
        <v>45975</v>
      </c>
      <c r="K15" s="25"/>
      <c r="L15" s="33"/>
      <c r="M15" s="21">
        <v>0.9</v>
      </c>
      <c r="N15" s="11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</row>
    <row r="16" spans="1:84" x14ac:dyDescent="0.35">
      <c r="A16" s="40"/>
      <c r="B16" s="13"/>
      <c r="C16" s="13" t="s">
        <v>17</v>
      </c>
      <c r="D16" s="28">
        <f t="shared" si="64"/>
        <v>46004.6</v>
      </c>
      <c r="E16" s="12">
        <f t="shared" si="65"/>
        <v>46007.199999999997</v>
      </c>
      <c r="F16" s="25">
        <v>2.6</v>
      </c>
      <c r="G16" s="32"/>
      <c r="H16" s="18">
        <f t="shared" ref="H16:H24" ca="1" si="67">IF(D16="",0,IF(D16&gt;TODAY(),0,IF(E16&lt;TODAY(),1,(TODAY()-D16)/(E16-D16))))</f>
        <v>0</v>
      </c>
      <c r="I16" s="12"/>
      <c r="J16" s="12"/>
      <c r="K16" s="25"/>
      <c r="L16" s="32"/>
      <c r="M16" s="21">
        <v>0</v>
      </c>
      <c r="N16" s="11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</row>
    <row r="17" spans="1:83" x14ac:dyDescent="0.35">
      <c r="A17" s="40"/>
      <c r="B17" s="13"/>
      <c r="C17" s="13" t="s">
        <v>18</v>
      </c>
      <c r="D17" s="28">
        <f t="shared" si="64"/>
        <v>46007.199999999997</v>
      </c>
      <c r="E17" s="12">
        <f t="shared" si="65"/>
        <v>46010</v>
      </c>
      <c r="F17" s="25">
        <v>2.8</v>
      </c>
      <c r="G17" s="32"/>
      <c r="H17" s="18">
        <f t="shared" ca="1" si="67"/>
        <v>0</v>
      </c>
      <c r="I17" s="12"/>
      <c r="J17" s="12"/>
      <c r="K17" s="25"/>
      <c r="L17" s="32"/>
      <c r="M17" s="21">
        <v>0</v>
      </c>
      <c r="N17" s="11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</row>
    <row r="18" spans="1:83" x14ac:dyDescent="0.35">
      <c r="A18" s="40"/>
      <c r="B18" s="13"/>
      <c r="C18" s="13" t="s">
        <v>19</v>
      </c>
      <c r="D18" s="28">
        <f t="shared" si="64"/>
        <v>46010</v>
      </c>
      <c r="E18" s="12">
        <f t="shared" si="65"/>
        <v>46013</v>
      </c>
      <c r="F18" s="25">
        <v>3</v>
      </c>
      <c r="G18" s="33"/>
      <c r="H18" s="18"/>
      <c r="I18" s="12"/>
      <c r="J18" s="12"/>
      <c r="K18" s="25"/>
      <c r="L18" s="33"/>
      <c r="M18" s="21"/>
      <c r="N18" s="11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</row>
    <row r="19" spans="1:83" x14ac:dyDescent="0.35">
      <c r="A19" s="40"/>
      <c r="B19" s="13"/>
      <c r="C19" s="13" t="s">
        <v>20</v>
      </c>
      <c r="D19" s="28"/>
      <c r="E19" s="12"/>
      <c r="F19" s="25"/>
      <c r="G19" s="33"/>
      <c r="H19" s="18"/>
      <c r="I19" s="12"/>
      <c r="J19" s="12"/>
      <c r="K19" s="25"/>
      <c r="L19" s="33"/>
      <c r="M19" s="21"/>
      <c r="N19" s="11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</row>
    <row r="20" spans="1:83" x14ac:dyDescent="0.35">
      <c r="A20" s="40"/>
      <c r="B20" s="13" t="s">
        <v>45</v>
      </c>
      <c r="C20" s="27" t="s">
        <v>21</v>
      </c>
      <c r="D20" s="1">
        <f>E18</f>
        <v>46013</v>
      </c>
      <c r="E20" s="12">
        <f t="shared" si="65"/>
        <v>46014</v>
      </c>
      <c r="F20" s="25">
        <v>1</v>
      </c>
      <c r="G20" s="32"/>
      <c r="H20" s="18">
        <f t="shared" ca="1" si="67"/>
        <v>0</v>
      </c>
      <c r="I20" s="12"/>
      <c r="J20" s="12"/>
      <c r="K20" s="25"/>
      <c r="L20" s="32"/>
      <c r="M20" s="21">
        <v>0</v>
      </c>
      <c r="N20" s="11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</row>
    <row r="21" spans="1:83" x14ac:dyDescent="0.35">
      <c r="A21" s="40"/>
      <c r="B21" s="13" t="s">
        <v>47</v>
      </c>
      <c r="C21" s="13" t="s">
        <v>49</v>
      </c>
      <c r="D21" s="28">
        <f>E20</f>
        <v>46014</v>
      </c>
      <c r="E21" s="12">
        <f>D21+F21</f>
        <v>46016</v>
      </c>
      <c r="F21" s="25">
        <v>2</v>
      </c>
      <c r="G21" s="32"/>
      <c r="H21" s="18">
        <f t="shared" ca="1" si="67"/>
        <v>0</v>
      </c>
      <c r="I21" s="12"/>
      <c r="J21" s="12"/>
      <c r="K21" s="25"/>
      <c r="L21" s="32"/>
      <c r="M21" s="21">
        <v>0</v>
      </c>
      <c r="N21" s="11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</row>
    <row r="22" spans="1:83" x14ac:dyDescent="0.35">
      <c r="A22" s="40"/>
      <c r="B22" s="13"/>
      <c r="C22" s="13" t="s">
        <v>22</v>
      </c>
      <c r="D22" s="28">
        <f t="shared" ref="D22:D32" si="68">E21</f>
        <v>46016</v>
      </c>
      <c r="E22" s="12">
        <f t="shared" ref="E22:E32" si="69">D22+F22</f>
        <v>46017</v>
      </c>
      <c r="F22" s="25">
        <v>1</v>
      </c>
      <c r="G22" s="33"/>
      <c r="H22" s="18">
        <f t="shared" ca="1" si="67"/>
        <v>0</v>
      </c>
      <c r="I22" s="12"/>
      <c r="J22" s="12"/>
      <c r="K22" s="25"/>
      <c r="L22" s="33"/>
      <c r="M22" s="21"/>
      <c r="N22" s="11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</row>
    <row r="23" spans="1:83" x14ac:dyDescent="0.35">
      <c r="A23" s="40"/>
      <c r="B23" s="13"/>
      <c r="C23" s="13" t="s">
        <v>23</v>
      </c>
      <c r="D23" s="28">
        <f t="shared" si="68"/>
        <v>46017</v>
      </c>
      <c r="E23" s="12">
        <f t="shared" si="69"/>
        <v>46019</v>
      </c>
      <c r="F23" s="25">
        <v>2</v>
      </c>
      <c r="G23" s="32"/>
      <c r="H23" s="18">
        <f t="shared" ca="1" si="67"/>
        <v>0</v>
      </c>
      <c r="I23" s="12"/>
      <c r="J23" s="12"/>
      <c r="K23" s="25"/>
      <c r="L23" s="32"/>
      <c r="M23" s="21">
        <v>0</v>
      </c>
      <c r="N23" s="11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</row>
    <row r="24" spans="1:83" x14ac:dyDescent="0.35">
      <c r="A24" s="40"/>
      <c r="B24" s="13" t="s">
        <v>47</v>
      </c>
      <c r="C24" s="13" t="s">
        <v>24</v>
      </c>
      <c r="D24" s="28">
        <f t="shared" si="68"/>
        <v>46019</v>
      </c>
      <c r="E24" s="12">
        <f t="shared" si="69"/>
        <v>46020</v>
      </c>
      <c r="F24" s="25">
        <v>1</v>
      </c>
      <c r="G24" s="32"/>
      <c r="H24" s="18">
        <f t="shared" ca="1" si="67"/>
        <v>0</v>
      </c>
      <c r="I24" s="12"/>
      <c r="J24" s="12"/>
      <c r="K24" s="25"/>
      <c r="L24" s="32"/>
      <c r="M24" s="21">
        <v>0</v>
      </c>
      <c r="N24" s="11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</row>
    <row r="25" spans="1:83" x14ac:dyDescent="0.35">
      <c r="A25" s="40"/>
      <c r="B25" s="13"/>
      <c r="C25" s="13" t="s">
        <v>26</v>
      </c>
      <c r="D25" s="28">
        <f t="shared" si="68"/>
        <v>46020</v>
      </c>
      <c r="E25" s="12">
        <f t="shared" si="69"/>
        <v>46022</v>
      </c>
      <c r="F25" s="25">
        <v>2</v>
      </c>
      <c r="G25" s="32"/>
      <c r="H25" s="18">
        <f t="shared" ref="H25:H34" ca="1" si="70">IF(D25="",0,IF(D25&gt;TODAY(),0,IF(E25&lt;TODAY(),1,(TODAY()-D25)/(E25-D25))))</f>
        <v>0</v>
      </c>
      <c r="I25" s="12"/>
      <c r="J25" s="12"/>
      <c r="K25" s="25"/>
      <c r="L25" s="32"/>
      <c r="M25" s="21">
        <v>0</v>
      </c>
      <c r="N25" s="11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</row>
    <row r="26" spans="1:83" x14ac:dyDescent="0.35">
      <c r="A26" s="40"/>
      <c r="B26" s="13"/>
      <c r="C26" s="13" t="s">
        <v>27</v>
      </c>
      <c r="D26" s="28">
        <f t="shared" si="68"/>
        <v>46022</v>
      </c>
      <c r="E26" s="12">
        <f t="shared" si="69"/>
        <v>46023</v>
      </c>
      <c r="F26" s="25">
        <v>1</v>
      </c>
      <c r="G26" s="32"/>
      <c r="H26" s="18">
        <f t="shared" ca="1" si="70"/>
        <v>0</v>
      </c>
      <c r="I26" s="12"/>
      <c r="J26" s="12"/>
      <c r="K26" s="25"/>
      <c r="L26" s="32"/>
      <c r="M26" s="21">
        <v>0</v>
      </c>
      <c r="N26" s="11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</row>
    <row r="27" spans="1:83" x14ac:dyDescent="0.35">
      <c r="A27" s="40"/>
      <c r="B27" s="13"/>
      <c r="C27" s="13" t="s">
        <v>28</v>
      </c>
      <c r="D27" s="28">
        <f t="shared" si="68"/>
        <v>46023</v>
      </c>
      <c r="E27" s="12">
        <f t="shared" si="69"/>
        <v>46025</v>
      </c>
      <c r="F27" s="25">
        <v>2</v>
      </c>
      <c r="G27" s="32"/>
      <c r="H27" s="18">
        <f t="shared" ca="1" si="70"/>
        <v>0</v>
      </c>
      <c r="I27" s="12"/>
      <c r="J27" s="12"/>
      <c r="K27" s="25"/>
      <c r="L27" s="32"/>
      <c r="M27" s="21">
        <v>0</v>
      </c>
      <c r="N27" s="11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</row>
    <row r="28" spans="1:83" x14ac:dyDescent="0.35">
      <c r="A28" s="40"/>
      <c r="B28" s="13"/>
      <c r="C28" s="13" t="s">
        <v>27</v>
      </c>
      <c r="D28" s="28">
        <f t="shared" si="68"/>
        <v>46025</v>
      </c>
      <c r="E28" s="12">
        <f t="shared" si="69"/>
        <v>46026</v>
      </c>
      <c r="F28" s="25">
        <v>1</v>
      </c>
      <c r="G28" s="32"/>
      <c r="H28" s="18">
        <f t="shared" ca="1" si="70"/>
        <v>0</v>
      </c>
      <c r="I28" s="12"/>
      <c r="J28" s="12"/>
      <c r="K28" s="25"/>
      <c r="L28" s="32"/>
      <c r="M28" s="21">
        <v>0</v>
      </c>
      <c r="N28" s="11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</row>
    <row r="29" spans="1:83" x14ac:dyDescent="0.35">
      <c r="A29" s="40"/>
      <c r="B29" s="13"/>
      <c r="C29" s="13" t="s">
        <v>25</v>
      </c>
      <c r="D29" s="28">
        <f>E28</f>
        <v>46026</v>
      </c>
      <c r="E29" s="12">
        <f>D29+F29</f>
        <v>46028</v>
      </c>
      <c r="F29" s="25">
        <v>2</v>
      </c>
      <c r="G29" s="32"/>
      <c r="H29" s="18">
        <f t="shared" ca="1" si="70"/>
        <v>0</v>
      </c>
      <c r="I29" s="12"/>
      <c r="J29" s="12"/>
      <c r="K29" s="25"/>
      <c r="L29" s="32"/>
      <c r="M29" s="21">
        <v>0</v>
      </c>
      <c r="N29" s="11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</row>
    <row r="30" spans="1:83" x14ac:dyDescent="0.35">
      <c r="A30" s="40"/>
      <c r="B30" s="13"/>
      <c r="C30" s="13" t="s">
        <v>29</v>
      </c>
      <c r="D30" s="28">
        <f t="shared" si="68"/>
        <v>46028</v>
      </c>
      <c r="E30" s="12">
        <f t="shared" si="69"/>
        <v>46029</v>
      </c>
      <c r="F30" s="25">
        <v>1</v>
      </c>
      <c r="G30" s="32"/>
      <c r="H30" s="18">
        <f t="shared" ca="1" si="70"/>
        <v>0</v>
      </c>
      <c r="I30" s="12"/>
      <c r="J30" s="12"/>
      <c r="K30" s="25"/>
      <c r="L30" s="32"/>
      <c r="M30" s="21">
        <v>0</v>
      </c>
      <c r="N30" s="11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</row>
    <row r="31" spans="1:83" x14ac:dyDescent="0.35">
      <c r="A31" s="40"/>
      <c r="B31" s="13"/>
      <c r="C31" s="13" t="s">
        <v>26</v>
      </c>
      <c r="D31" s="28">
        <f t="shared" si="68"/>
        <v>46029</v>
      </c>
      <c r="E31" s="12">
        <f t="shared" si="69"/>
        <v>46031</v>
      </c>
      <c r="F31" s="25">
        <v>2</v>
      </c>
      <c r="G31" s="32"/>
      <c r="H31" s="18">
        <f t="shared" ca="1" si="70"/>
        <v>0</v>
      </c>
      <c r="I31" s="12"/>
      <c r="J31" s="12"/>
      <c r="K31" s="25"/>
      <c r="L31" s="32"/>
      <c r="M31" s="21">
        <v>0</v>
      </c>
      <c r="N31" s="11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</row>
    <row r="32" spans="1:83" x14ac:dyDescent="0.35">
      <c r="A32" s="40"/>
      <c r="B32" s="13"/>
      <c r="C32" s="13" t="s">
        <v>27</v>
      </c>
      <c r="D32" s="28">
        <f t="shared" si="68"/>
        <v>46031</v>
      </c>
      <c r="E32" s="12">
        <f t="shared" si="69"/>
        <v>46044</v>
      </c>
      <c r="F32" s="25">
        <v>13</v>
      </c>
      <c r="G32" s="32"/>
      <c r="H32" s="18">
        <f t="shared" ca="1" si="70"/>
        <v>0</v>
      </c>
      <c r="I32" s="12"/>
      <c r="J32" s="12"/>
      <c r="K32" s="25"/>
      <c r="L32" s="32"/>
      <c r="M32" s="21">
        <v>0</v>
      </c>
      <c r="N32" s="11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</row>
    <row r="33" spans="1:83" x14ac:dyDescent="0.35">
      <c r="A33" s="40"/>
      <c r="B33" s="13"/>
      <c r="C33" s="13" t="s">
        <v>28</v>
      </c>
      <c r="D33" s="28">
        <f t="shared" ref="D33" si="71">E32</f>
        <v>46044</v>
      </c>
      <c r="E33" s="12">
        <f t="shared" ref="E33:E39" si="72">D33+F33</f>
        <v>46046</v>
      </c>
      <c r="F33" s="25">
        <v>2</v>
      </c>
      <c r="G33" s="32"/>
      <c r="H33" s="18">
        <f t="shared" ca="1" si="70"/>
        <v>0</v>
      </c>
      <c r="I33" s="12"/>
      <c r="J33" s="12"/>
      <c r="K33" s="25"/>
      <c r="L33" s="32"/>
      <c r="M33" s="21">
        <v>0</v>
      </c>
      <c r="N33" s="11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</row>
    <row r="34" spans="1:83" x14ac:dyDescent="0.35">
      <c r="A34" s="40"/>
      <c r="B34" s="13"/>
      <c r="C34" s="13" t="s">
        <v>30</v>
      </c>
      <c r="D34" s="1">
        <v>45981</v>
      </c>
      <c r="E34" s="12">
        <f t="shared" si="72"/>
        <v>45984</v>
      </c>
      <c r="F34" s="25">
        <v>3</v>
      </c>
      <c r="G34" s="32"/>
      <c r="H34" s="18">
        <f t="shared" ca="1" si="70"/>
        <v>1</v>
      </c>
      <c r="I34" s="12"/>
      <c r="J34" s="12"/>
      <c r="K34" s="25"/>
      <c r="L34" s="32"/>
      <c r="M34" s="21">
        <v>0</v>
      </c>
      <c r="N34" s="11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</row>
    <row r="35" spans="1:83" x14ac:dyDescent="0.35">
      <c r="A35" s="40"/>
      <c r="B35" s="13"/>
      <c r="C35" s="13" t="s">
        <v>26</v>
      </c>
      <c r="D35" s="12"/>
      <c r="E35" s="12"/>
      <c r="F35" s="25"/>
      <c r="G35" s="32"/>
      <c r="H35" s="18">
        <f t="shared" ref="H35:H38" ca="1" si="73">IF(D35="",0,IF(D35&gt;TODAY(),0,IF(E35&lt;TODAY(),1,(TODAY()-D35)/(E35-D35))))</f>
        <v>0</v>
      </c>
      <c r="I35" s="12"/>
      <c r="J35" s="12"/>
      <c r="K35" s="25"/>
      <c r="L35" s="32"/>
      <c r="M35" s="21">
        <v>0</v>
      </c>
      <c r="N35" s="11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</row>
    <row r="36" spans="1:83" x14ac:dyDescent="0.35">
      <c r="A36" s="40"/>
      <c r="B36" s="13"/>
      <c r="C36" s="13" t="s">
        <v>27</v>
      </c>
      <c r="D36" s="1">
        <v>45980</v>
      </c>
      <c r="E36" s="12">
        <f t="shared" si="72"/>
        <v>45981</v>
      </c>
      <c r="F36" s="25">
        <v>1</v>
      </c>
      <c r="G36" s="32"/>
      <c r="H36" s="18">
        <f t="shared" ca="1" si="73"/>
        <v>1</v>
      </c>
      <c r="I36" s="12"/>
      <c r="J36" s="12"/>
      <c r="K36" s="25"/>
      <c r="L36" s="32"/>
      <c r="M36" s="21">
        <v>0</v>
      </c>
      <c r="N36" s="11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</row>
    <row r="37" spans="1:83" x14ac:dyDescent="0.35">
      <c r="A37" s="40"/>
      <c r="B37" s="13"/>
      <c r="C37" s="13" t="s">
        <v>28</v>
      </c>
      <c r="D37" s="28">
        <f t="shared" ref="D37" si="74">E36</f>
        <v>45981</v>
      </c>
      <c r="E37" s="12">
        <f t="shared" si="72"/>
        <v>45983</v>
      </c>
      <c r="F37" s="25">
        <v>2</v>
      </c>
      <c r="G37" s="32"/>
      <c r="H37" s="18">
        <f t="shared" ca="1" si="73"/>
        <v>1</v>
      </c>
      <c r="I37" s="12"/>
      <c r="J37" s="12"/>
      <c r="K37" s="25"/>
      <c r="L37" s="32"/>
      <c r="M37" s="21">
        <v>0</v>
      </c>
      <c r="N37" s="11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</row>
    <row r="38" spans="1:83" x14ac:dyDescent="0.35">
      <c r="A38" s="40"/>
      <c r="B38" s="13" t="s">
        <v>47</v>
      </c>
      <c r="C38" s="13" t="s">
        <v>50</v>
      </c>
      <c r="D38" s="1">
        <v>45981</v>
      </c>
      <c r="E38" s="12">
        <f t="shared" si="72"/>
        <v>45984</v>
      </c>
      <c r="F38" s="25">
        <v>3</v>
      </c>
      <c r="G38" s="32"/>
      <c r="H38" s="18">
        <f t="shared" ca="1" si="73"/>
        <v>1</v>
      </c>
      <c r="I38" s="12"/>
      <c r="J38" s="12"/>
      <c r="K38" s="25"/>
      <c r="L38" s="32"/>
      <c r="M38" s="21">
        <v>0</v>
      </c>
      <c r="N38" s="11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</row>
    <row r="39" spans="1:83" x14ac:dyDescent="0.35">
      <c r="A39" s="40"/>
      <c r="B39" s="13"/>
      <c r="C39" s="13" t="s">
        <v>31</v>
      </c>
      <c r="D39" s="1">
        <v>45982</v>
      </c>
      <c r="E39" s="12">
        <f t="shared" si="72"/>
        <v>45986</v>
      </c>
      <c r="F39" s="25">
        <v>4</v>
      </c>
      <c r="G39" s="32"/>
      <c r="H39" s="18">
        <f t="shared" ref="H39" ca="1" si="75">IF(D39="",0,IF(D39&gt;TODAY(),0,IF(E39&lt;TODAY(),1,(TODAY()-D39)/(E39-D39))))</f>
        <v>1</v>
      </c>
      <c r="I39" s="12"/>
      <c r="J39" s="12"/>
      <c r="K39" s="25"/>
      <c r="L39" s="32"/>
      <c r="M39" s="21">
        <v>1</v>
      </c>
      <c r="N39" s="11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</row>
    <row r="40" spans="1:83" x14ac:dyDescent="0.35">
      <c r="A40" s="40"/>
      <c r="B40" s="13"/>
      <c r="C40" s="13" t="s">
        <v>32</v>
      </c>
      <c r="D40" s="12"/>
      <c r="E40" s="12"/>
      <c r="F40" s="25"/>
      <c r="G40" s="25"/>
      <c r="H40" s="18"/>
      <c r="I40" s="12"/>
      <c r="J40" s="12"/>
      <c r="K40" s="25"/>
      <c r="L40" s="26"/>
      <c r="M40" s="21"/>
      <c r="N40" s="11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</row>
    <row r="41" spans="1:83" x14ac:dyDescent="0.35">
      <c r="A41" s="40"/>
      <c r="B41" s="13"/>
      <c r="C41" s="13" t="s">
        <v>33</v>
      </c>
      <c r="D41" s="12"/>
      <c r="E41" s="12"/>
      <c r="F41" s="25"/>
      <c r="G41" s="26"/>
      <c r="H41" s="18"/>
      <c r="I41" s="12"/>
      <c r="J41" s="12"/>
      <c r="K41" s="25"/>
      <c r="L41" s="26"/>
      <c r="M41" s="21"/>
      <c r="N41" s="11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</row>
    <row r="42" spans="1:83" x14ac:dyDescent="0.35">
      <c r="A42" s="40"/>
      <c r="B42" s="13" t="s">
        <v>47</v>
      </c>
      <c r="C42" s="13" t="s">
        <v>34</v>
      </c>
      <c r="D42" s="12"/>
      <c r="E42" s="12"/>
      <c r="F42" s="25"/>
      <c r="G42" s="25"/>
      <c r="H42" s="18"/>
      <c r="I42" s="12"/>
      <c r="J42" s="12"/>
      <c r="K42" s="25"/>
      <c r="L42" s="26"/>
      <c r="M42" s="21"/>
      <c r="N42" s="11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</row>
    <row r="43" spans="1:83" x14ac:dyDescent="0.35">
      <c r="A43" s="40"/>
      <c r="B43" s="13"/>
      <c r="C43" s="13"/>
      <c r="D43" s="12"/>
      <c r="E43" s="12"/>
      <c r="F43" s="25"/>
      <c r="G43" s="25"/>
      <c r="H43" s="18"/>
      <c r="I43" s="12"/>
      <c r="J43" s="12"/>
      <c r="K43" s="25"/>
      <c r="L43" s="26"/>
      <c r="M43" s="21"/>
      <c r="N43" s="11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</row>
    <row r="44" spans="1:83" x14ac:dyDescent="0.35">
      <c r="A44" s="40"/>
      <c r="B44" s="13"/>
      <c r="C44" s="13"/>
      <c r="D44" s="12"/>
      <c r="E44" s="12"/>
      <c r="F44" s="25"/>
      <c r="G44" s="26"/>
      <c r="H44" s="18"/>
      <c r="I44" s="12"/>
      <c r="J44" s="12"/>
      <c r="K44" s="25"/>
      <c r="L44" s="26"/>
      <c r="M44" s="21"/>
      <c r="N44" s="11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</row>
    <row r="45" spans="1:83" x14ac:dyDescent="0.35">
      <c r="A45" s="40"/>
      <c r="B45" s="13" t="str">
        <f t="shared" ref="B45" si="76">IF(C45="","",IF(C45&gt;=$H$6,"Ongoing","Legado"))</f>
        <v/>
      </c>
      <c r="C45" s="24"/>
      <c r="D45" s="12"/>
      <c r="E45" s="12"/>
      <c r="F45" s="11"/>
      <c r="G45" s="11"/>
      <c r="H45" s="18"/>
      <c r="I45" s="11"/>
      <c r="J45" s="11"/>
      <c r="K45" s="11"/>
      <c r="L45" s="26"/>
      <c r="M45" s="21"/>
      <c r="N45" s="11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</row>
    <row r="47" spans="1:83" x14ac:dyDescent="0.35">
      <c r="D47" s="1"/>
    </row>
  </sheetData>
  <mergeCells count="2">
    <mergeCell ref="C3:D5"/>
    <mergeCell ref="C2:D2"/>
  </mergeCells>
  <phoneticPr fontId="4" type="noConversion"/>
  <conditionalFormatting sqref="H36:H39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{4200CF51-F025-4A6A-AA29-4067521CB5AD}</x14:id>
        </ext>
      </extLst>
    </cfRule>
  </conditionalFormatting>
  <conditionalFormatting sqref="H40:H45 H8:H35">
    <cfRule type="dataBar" priority="1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{420C8030-895D-40F8-85A2-4DA8254480EB}</x14:id>
        </ext>
      </extLst>
    </cfRule>
  </conditionalFormatting>
  <conditionalFormatting sqref="M36:M39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{D7A753AE-227B-43E7-9866-5F37E9B19091}</x14:id>
        </ext>
      </extLst>
    </cfRule>
  </conditionalFormatting>
  <conditionalFormatting sqref="M40:M45 M8:M35">
    <cfRule type="dataBar" priority="1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{A46E5B74-CCB4-4A71-8A6B-A916B8BE331C}</x14:id>
        </ext>
      </extLst>
    </cfRule>
  </conditionalFormatting>
  <conditionalFormatting sqref="N6:CE45">
    <cfRule type="expression" dxfId="19" priority="6">
      <formula>N$6=TODAY()</formula>
    </cfRule>
  </conditionalFormatting>
  <conditionalFormatting sqref="N7:CE45">
    <cfRule type="expression" dxfId="17" priority="7">
      <formula>OR(WEEKDAY(N$6)=1,WEEKDAY(N$6)=7)</formula>
    </cfRule>
  </conditionalFormatting>
  <conditionalFormatting sqref="N8:CE45">
    <cfRule type="expression" dxfId="16" priority="8">
      <formula>AND($I8&lt;&gt;"",$J8&lt;&gt;"",N$6&lt;=data_progresso,N$6&gt;=$I8,N$6&lt;=$J8)</formula>
    </cfRule>
    <cfRule type="expression" dxfId="15" priority="9">
      <formula>AND(N$6&gt;=$D8,N$6&lt;=$E8,$D8&lt;&gt;"",$E8&lt;&gt;"")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&amp;L_x000D_&amp;1#&amp;"Calibri"&amp;7&amp;K000000 ***Este documento está clasificado como USO INTERNO por TELEFÓNICA.
***This document is classified as INTERNAL USE by TELEFÓNICA.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Scroll Bar 2">
              <controlPr defaultSize="0" autoPict="0">
                <anchor moveWithCells="1">
                  <from>
                    <xdr:col>13</xdr:col>
                    <xdr:colOff>12700</xdr:colOff>
                    <xdr:row>1</xdr:row>
                    <xdr:rowOff>50800</xdr:rowOff>
                  </from>
                  <to>
                    <xdr:col>18</xdr:col>
                    <xdr:colOff>165100</xdr:colOff>
                    <xdr:row>2</xdr:row>
                    <xdr:rowOff>57150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00CF51-F025-4A6A-AA29-4067521CB5A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H36:H39</xm:sqref>
        </x14:conditionalFormatting>
        <x14:conditionalFormatting xmlns:xm="http://schemas.microsoft.com/office/excel/2006/main">
          <x14:cfRule type="dataBar" id="{420C8030-895D-40F8-85A2-4DA8254480E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H40:H45 H8:H35</xm:sqref>
        </x14:conditionalFormatting>
        <x14:conditionalFormatting xmlns:xm="http://schemas.microsoft.com/office/excel/2006/main">
          <x14:cfRule type="dataBar" id="{D7A753AE-227B-43E7-9866-5F37E9B1909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M36:M39</xm:sqref>
        </x14:conditionalFormatting>
        <x14:conditionalFormatting xmlns:xm="http://schemas.microsoft.com/office/excel/2006/main">
          <x14:cfRule type="dataBar" id="{A46E5B74-CCB4-4A71-8A6B-A916B8BE331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M40:M45 M8:M35</xm:sqref>
        </x14:conditionalFormatting>
        <x14:conditionalFormatting xmlns:xm="http://schemas.microsoft.com/office/excel/2006/main">
          <x14:cfRule type="expression" priority="5" id="{DFA52750-5876-434C-A93A-A5E82E0A8B8F}">
            <xm:f>MATCH(N$6,#REF!,0)</xm:f>
            <x14:dxf>
              <fill>
                <patternFill patternType="lightUp">
                  <fgColor rgb="FFFF0000"/>
                </patternFill>
              </fill>
            </x14:dxf>
          </x14:cfRule>
          <xm:sqref>N7:CE45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384D-1DF8-4D71-8AD7-7CDC26406240}">
  <dimension ref="A1:CF47"/>
  <sheetViews>
    <sheetView zoomScale="50" zoomScaleNormal="50" workbookViewId="0">
      <selection activeCell="I2" sqref="I2:I4"/>
    </sheetView>
  </sheetViews>
  <sheetFormatPr defaultRowHeight="14.5" outlineLevelCol="1" x14ac:dyDescent="0.35"/>
  <cols>
    <col min="1" max="1" width="7.7265625" style="38" bestFit="1" customWidth="1"/>
    <col min="2" max="2" width="15.26953125" customWidth="1"/>
    <col min="3" max="3" width="33.90625" style="3" customWidth="1"/>
    <col min="4" max="4" width="16.81640625" customWidth="1" outlineLevel="1"/>
    <col min="5" max="5" width="15.08984375" customWidth="1" outlineLevel="1"/>
    <col min="6" max="6" width="6.453125" customWidth="1" outlineLevel="1"/>
    <col min="7" max="7" width="17.81640625" bestFit="1" customWidth="1" outlineLevel="1"/>
    <col min="8" max="8" width="11.08984375" customWidth="1" outlineLevel="1"/>
    <col min="9" max="10" width="11" bestFit="1" customWidth="1"/>
    <col min="11" max="11" width="9.453125" bestFit="1" customWidth="1"/>
    <col min="12" max="12" width="16.7265625" bestFit="1" customWidth="1"/>
    <col min="13" max="13" width="11.08984375" bestFit="1" customWidth="1"/>
    <col min="14" max="14" width="3" style="3" bestFit="1" customWidth="1"/>
    <col min="15" max="15" width="3" bestFit="1" customWidth="1"/>
    <col min="16" max="16" width="6.90625" bestFit="1" customWidth="1"/>
    <col min="17" max="56" width="3" bestFit="1" customWidth="1"/>
    <col min="57" max="83" width="3.08984375" bestFit="1" customWidth="1"/>
  </cols>
  <sheetData>
    <row r="1" spans="1:84" s="42" customFormat="1" ht="13.5" customHeight="1" x14ac:dyDescent="0.35">
      <c r="A1" s="37"/>
      <c r="B1" s="41"/>
      <c r="C1" s="50"/>
      <c r="D1" s="41"/>
      <c r="E1" s="44" t="s">
        <v>38</v>
      </c>
      <c r="F1" s="45"/>
      <c r="G1" s="44" t="s">
        <v>41</v>
      </c>
      <c r="I1" s="42" t="s">
        <v>60</v>
      </c>
      <c r="J1" s="42" t="s">
        <v>63</v>
      </c>
      <c r="L1" s="49" t="s">
        <v>4</v>
      </c>
      <c r="M1" s="48">
        <v>45995</v>
      </c>
      <c r="N1" s="43"/>
    </row>
    <row r="2" spans="1:84" s="42" customFormat="1" ht="21" x14ac:dyDescent="0.5">
      <c r="A2" s="37"/>
      <c r="B2" s="41"/>
      <c r="C2" s="54" t="s">
        <v>53</v>
      </c>
      <c r="D2" s="54"/>
      <c r="E2" s="44" t="s">
        <v>39</v>
      </c>
      <c r="F2" s="45"/>
      <c r="G2" s="44" t="s">
        <v>42</v>
      </c>
      <c r="I2" s="42" t="s">
        <v>65</v>
      </c>
      <c r="J2" s="42" t="s">
        <v>57</v>
      </c>
      <c r="L2" s="49" t="s">
        <v>5</v>
      </c>
      <c r="M2" s="49">
        <v>1</v>
      </c>
      <c r="N2" s="43"/>
    </row>
    <row r="3" spans="1:84" s="42" customFormat="1" ht="18" x14ac:dyDescent="0.35">
      <c r="A3" s="51" t="s">
        <v>55</v>
      </c>
      <c r="B3" s="41"/>
      <c r="C3" s="53" t="s">
        <v>62</v>
      </c>
      <c r="D3" s="53"/>
      <c r="E3" s="44" t="s">
        <v>40</v>
      </c>
      <c r="F3" s="45"/>
      <c r="G3" s="44" t="s">
        <v>43</v>
      </c>
      <c r="I3" s="42" t="s">
        <v>66</v>
      </c>
      <c r="J3" s="42" t="s">
        <v>58</v>
      </c>
      <c r="M3" s="49"/>
      <c r="N3" s="43"/>
    </row>
    <row r="4" spans="1:84" s="42" customFormat="1" x14ac:dyDescent="0.35">
      <c r="A4" s="51" t="s">
        <v>51</v>
      </c>
      <c r="B4" s="52" t="s">
        <v>61</v>
      </c>
      <c r="C4" s="53"/>
      <c r="D4" s="53"/>
      <c r="E4" s="44"/>
      <c r="F4" s="45"/>
      <c r="G4" s="44"/>
      <c r="I4" s="42" t="s">
        <v>67</v>
      </c>
      <c r="J4" s="42" t="s">
        <v>59</v>
      </c>
      <c r="M4" s="49"/>
      <c r="N4" s="43"/>
    </row>
    <row r="5" spans="1:84" ht="21.5" customHeight="1" x14ac:dyDescent="0.35">
      <c r="A5" s="51" t="s">
        <v>44</v>
      </c>
      <c r="B5" s="50"/>
      <c r="C5" s="53"/>
      <c r="D5" s="53"/>
      <c r="E5" s="46"/>
      <c r="F5" s="42"/>
      <c r="G5" s="47"/>
      <c r="H5" s="42"/>
      <c r="I5" s="42"/>
      <c r="J5" s="42"/>
      <c r="K5" s="42"/>
      <c r="L5" s="42"/>
      <c r="M5" s="42"/>
      <c r="N5" s="7">
        <f>N6</f>
        <v>45998</v>
      </c>
      <c r="O5" s="8"/>
      <c r="P5" s="8"/>
      <c r="Q5" s="8"/>
      <c r="R5" s="8"/>
      <c r="S5" s="8"/>
      <c r="T5" s="9"/>
      <c r="U5" s="7">
        <f>U6</f>
        <v>46005</v>
      </c>
      <c r="V5" s="8"/>
      <c r="W5" s="8"/>
      <c r="X5" s="8"/>
      <c r="Y5" s="8"/>
      <c r="Z5" s="8"/>
      <c r="AA5" s="9"/>
      <c r="AB5" s="14">
        <f>AB6</f>
        <v>46012</v>
      </c>
      <c r="AC5" s="8"/>
      <c r="AD5" s="8"/>
      <c r="AE5" s="8"/>
      <c r="AF5" s="8"/>
      <c r="AG5" s="8"/>
      <c r="AH5" s="8"/>
      <c r="AI5" s="7">
        <f>AI6</f>
        <v>46019</v>
      </c>
      <c r="AJ5" s="8"/>
      <c r="AK5" s="8"/>
      <c r="AL5" s="8"/>
      <c r="AM5" s="8"/>
      <c r="AN5" s="8"/>
      <c r="AO5" s="9"/>
      <c r="AP5" s="14">
        <f>AP6</f>
        <v>46026</v>
      </c>
      <c r="AQ5" s="8"/>
      <c r="AR5" s="8"/>
      <c r="AS5" s="8"/>
      <c r="AT5" s="8"/>
      <c r="AU5" s="8"/>
      <c r="AV5" s="8"/>
      <c r="AW5" s="7">
        <f>AW6</f>
        <v>46033</v>
      </c>
      <c r="AX5" s="8"/>
      <c r="AY5" s="8"/>
      <c r="AZ5" s="8"/>
      <c r="BA5" s="8"/>
      <c r="BB5" s="8"/>
      <c r="BC5" s="9"/>
      <c r="BD5" s="14">
        <f>BD6</f>
        <v>46040</v>
      </c>
      <c r="BE5" s="8"/>
      <c r="BF5" s="8"/>
      <c r="BG5" s="8"/>
      <c r="BH5" s="8"/>
      <c r="BI5" s="8"/>
      <c r="BJ5" s="8"/>
      <c r="BK5" s="7">
        <f>BK6</f>
        <v>46047</v>
      </c>
      <c r="BL5" s="8"/>
      <c r="BM5" s="8"/>
      <c r="BN5" s="8"/>
      <c r="BO5" s="8"/>
      <c r="BP5" s="8"/>
      <c r="BQ5" s="9"/>
      <c r="BR5" s="14">
        <f>BR6</f>
        <v>46054</v>
      </c>
      <c r="BS5" s="8"/>
      <c r="BT5" s="8"/>
      <c r="BU5" s="8"/>
      <c r="BV5" s="8"/>
      <c r="BW5" s="8"/>
      <c r="BX5" s="8"/>
      <c r="BY5" s="7">
        <f>BY6</f>
        <v>46061</v>
      </c>
      <c r="BZ5" s="8"/>
      <c r="CA5" s="8"/>
      <c r="CB5" s="8"/>
      <c r="CC5" s="8"/>
      <c r="CD5" s="8"/>
      <c r="CE5" s="9"/>
    </row>
    <row r="6" spans="1:84" x14ac:dyDescent="0.35">
      <c r="A6" s="51" t="s">
        <v>56</v>
      </c>
      <c r="B6" s="50"/>
      <c r="C6" s="50"/>
      <c r="D6" s="29" t="s">
        <v>7</v>
      </c>
      <c r="E6" s="29"/>
      <c r="F6" s="29"/>
      <c r="G6" s="29"/>
      <c r="H6" s="30"/>
      <c r="I6" s="22" t="s">
        <v>8</v>
      </c>
      <c r="J6" s="22"/>
      <c r="K6" s="22"/>
      <c r="L6" s="22"/>
      <c r="M6" s="22"/>
      <c r="N6" s="17">
        <f>$M$1+7*M2-WEEKDAY($M$1,2)</f>
        <v>45998</v>
      </c>
      <c r="O6" s="2">
        <f>N6+1</f>
        <v>45999</v>
      </c>
      <c r="P6" s="2">
        <f t="shared" ref="P6:CA6" si="0">O6+1</f>
        <v>46000</v>
      </c>
      <c r="Q6" s="2">
        <f t="shared" si="0"/>
        <v>46001</v>
      </c>
      <c r="R6" s="2">
        <f t="shared" si="0"/>
        <v>46002</v>
      </c>
      <c r="S6" s="2">
        <f t="shared" si="0"/>
        <v>46003</v>
      </c>
      <c r="T6" s="16">
        <f t="shared" si="0"/>
        <v>46004</v>
      </c>
      <c r="U6" s="15">
        <f t="shared" si="0"/>
        <v>46005</v>
      </c>
      <c r="V6" s="2">
        <f t="shared" si="0"/>
        <v>46006</v>
      </c>
      <c r="W6" s="2">
        <f t="shared" si="0"/>
        <v>46007</v>
      </c>
      <c r="X6" s="2">
        <f t="shared" si="0"/>
        <v>46008</v>
      </c>
      <c r="Y6" s="2">
        <f t="shared" si="0"/>
        <v>46009</v>
      </c>
      <c r="Z6" s="2">
        <f t="shared" si="0"/>
        <v>46010</v>
      </c>
      <c r="AA6" s="16">
        <f t="shared" si="0"/>
        <v>46011</v>
      </c>
      <c r="AB6" s="2">
        <f t="shared" si="0"/>
        <v>46012</v>
      </c>
      <c r="AC6" s="2">
        <f t="shared" si="0"/>
        <v>46013</v>
      </c>
      <c r="AD6" s="2">
        <f t="shared" si="0"/>
        <v>46014</v>
      </c>
      <c r="AE6" s="2">
        <f t="shared" si="0"/>
        <v>46015</v>
      </c>
      <c r="AF6" s="2">
        <f t="shared" si="0"/>
        <v>46016</v>
      </c>
      <c r="AG6" s="2">
        <f t="shared" si="0"/>
        <v>46017</v>
      </c>
      <c r="AH6" s="2">
        <f t="shared" si="0"/>
        <v>46018</v>
      </c>
      <c r="AI6" s="15">
        <f t="shared" si="0"/>
        <v>46019</v>
      </c>
      <c r="AJ6" s="2">
        <f t="shared" si="0"/>
        <v>46020</v>
      </c>
      <c r="AK6" s="2">
        <f t="shared" si="0"/>
        <v>46021</v>
      </c>
      <c r="AL6" s="2">
        <f t="shared" si="0"/>
        <v>46022</v>
      </c>
      <c r="AM6" s="2">
        <f t="shared" si="0"/>
        <v>46023</v>
      </c>
      <c r="AN6" s="2">
        <f t="shared" si="0"/>
        <v>46024</v>
      </c>
      <c r="AO6" s="16">
        <f t="shared" si="0"/>
        <v>46025</v>
      </c>
      <c r="AP6" s="2">
        <f t="shared" si="0"/>
        <v>46026</v>
      </c>
      <c r="AQ6" s="2">
        <f t="shared" si="0"/>
        <v>46027</v>
      </c>
      <c r="AR6" s="2">
        <f t="shared" si="0"/>
        <v>46028</v>
      </c>
      <c r="AS6" s="2">
        <f t="shared" si="0"/>
        <v>46029</v>
      </c>
      <c r="AT6" s="2">
        <f t="shared" si="0"/>
        <v>46030</v>
      </c>
      <c r="AU6" s="2">
        <f t="shared" si="0"/>
        <v>46031</v>
      </c>
      <c r="AV6" s="2">
        <f t="shared" si="0"/>
        <v>46032</v>
      </c>
      <c r="AW6" s="15">
        <f t="shared" si="0"/>
        <v>46033</v>
      </c>
      <c r="AX6" s="2">
        <f t="shared" si="0"/>
        <v>46034</v>
      </c>
      <c r="AY6" s="2">
        <f t="shared" si="0"/>
        <v>46035</v>
      </c>
      <c r="AZ6" s="2">
        <f t="shared" si="0"/>
        <v>46036</v>
      </c>
      <c r="BA6" s="2">
        <f t="shared" si="0"/>
        <v>46037</v>
      </c>
      <c r="BB6" s="2">
        <f t="shared" si="0"/>
        <v>46038</v>
      </c>
      <c r="BC6" s="16">
        <f t="shared" si="0"/>
        <v>46039</v>
      </c>
      <c r="BD6" s="2">
        <f t="shared" si="0"/>
        <v>46040</v>
      </c>
      <c r="BE6" s="2">
        <f t="shared" si="0"/>
        <v>46041</v>
      </c>
      <c r="BF6" s="2">
        <f t="shared" si="0"/>
        <v>46042</v>
      </c>
      <c r="BG6" s="2">
        <f t="shared" si="0"/>
        <v>46043</v>
      </c>
      <c r="BH6" s="2">
        <f t="shared" si="0"/>
        <v>46044</v>
      </c>
      <c r="BI6" s="2">
        <f t="shared" si="0"/>
        <v>46045</v>
      </c>
      <c r="BJ6" s="2">
        <f t="shared" si="0"/>
        <v>46046</v>
      </c>
      <c r="BK6" s="15">
        <f t="shared" si="0"/>
        <v>46047</v>
      </c>
      <c r="BL6" s="2">
        <f t="shared" si="0"/>
        <v>46048</v>
      </c>
      <c r="BM6" s="2">
        <f t="shared" si="0"/>
        <v>46049</v>
      </c>
      <c r="BN6" s="2">
        <f t="shared" si="0"/>
        <v>46050</v>
      </c>
      <c r="BO6" s="2">
        <f t="shared" si="0"/>
        <v>46051</v>
      </c>
      <c r="BP6" s="2">
        <f t="shared" si="0"/>
        <v>46052</v>
      </c>
      <c r="BQ6" s="16">
        <f t="shared" si="0"/>
        <v>46053</v>
      </c>
      <c r="BR6" s="2">
        <f t="shared" si="0"/>
        <v>46054</v>
      </c>
      <c r="BS6" s="2">
        <f t="shared" si="0"/>
        <v>46055</v>
      </c>
      <c r="BT6" s="2">
        <f t="shared" si="0"/>
        <v>46056</v>
      </c>
      <c r="BU6" s="2">
        <f t="shared" si="0"/>
        <v>46057</v>
      </c>
      <c r="BV6" s="2">
        <f t="shared" si="0"/>
        <v>46058</v>
      </c>
      <c r="BW6" s="2">
        <f t="shared" si="0"/>
        <v>46059</v>
      </c>
      <c r="BX6" s="2">
        <f t="shared" si="0"/>
        <v>46060</v>
      </c>
      <c r="BY6" s="15">
        <f t="shared" si="0"/>
        <v>46061</v>
      </c>
      <c r="BZ6" s="2">
        <f t="shared" si="0"/>
        <v>46062</v>
      </c>
      <c r="CA6" s="2">
        <f t="shared" si="0"/>
        <v>46063</v>
      </c>
      <c r="CB6" s="2">
        <f t="shared" ref="CB6:CE6" si="1">CA6+1</f>
        <v>46064</v>
      </c>
      <c r="CC6" s="2">
        <f t="shared" si="1"/>
        <v>46065</v>
      </c>
      <c r="CD6" s="2">
        <f t="shared" si="1"/>
        <v>46066</v>
      </c>
      <c r="CE6" s="16">
        <f t="shared" si="1"/>
        <v>46067</v>
      </c>
    </row>
    <row r="7" spans="1:84" s="6" customFormat="1" ht="28" customHeight="1" x14ac:dyDescent="0.35">
      <c r="A7" s="39"/>
      <c r="B7" s="31" t="s">
        <v>11</v>
      </c>
      <c r="C7" s="31" t="s">
        <v>10</v>
      </c>
      <c r="D7" s="31" t="s">
        <v>0</v>
      </c>
      <c r="E7" s="31" t="s">
        <v>1</v>
      </c>
      <c r="F7" s="31" t="s">
        <v>6</v>
      </c>
      <c r="G7" s="31" t="s">
        <v>9</v>
      </c>
      <c r="H7" s="31" t="s">
        <v>2</v>
      </c>
      <c r="I7" s="20" t="s">
        <v>0</v>
      </c>
      <c r="J7" s="20" t="s">
        <v>1</v>
      </c>
      <c r="K7" s="20" t="s">
        <v>3</v>
      </c>
      <c r="L7" s="20" t="s">
        <v>9</v>
      </c>
      <c r="M7" s="20" t="s">
        <v>2</v>
      </c>
      <c r="N7" s="4" t="str">
        <f>LEFT(UPPER(TEXT(WEEKDAY(N6),"DDD")),1)</f>
        <v>D</v>
      </c>
      <c r="O7" s="4" t="str">
        <f>LEFT(UPPER(TEXT(WEEKDAY(O6),"DDD")),1)</f>
        <v>S</v>
      </c>
      <c r="P7" s="4" t="str">
        <f t="shared" ref="P7:CA7" si="2">LEFT(UPPER(TEXT(WEEKDAY(P6),"DDD")),1)</f>
        <v>T</v>
      </c>
      <c r="Q7" s="4" t="str">
        <f t="shared" si="2"/>
        <v>Q</v>
      </c>
      <c r="R7" s="4" t="str">
        <f t="shared" si="2"/>
        <v>Q</v>
      </c>
      <c r="S7" s="4" t="str">
        <f t="shared" si="2"/>
        <v>S</v>
      </c>
      <c r="T7" s="4" t="str">
        <f t="shared" si="2"/>
        <v>S</v>
      </c>
      <c r="U7" s="4" t="str">
        <f t="shared" si="2"/>
        <v>D</v>
      </c>
      <c r="V7" s="4" t="str">
        <f t="shared" si="2"/>
        <v>S</v>
      </c>
      <c r="W7" s="5" t="str">
        <f t="shared" si="2"/>
        <v>T</v>
      </c>
      <c r="X7" s="5" t="str">
        <f t="shared" si="2"/>
        <v>Q</v>
      </c>
      <c r="Y7" s="5" t="str">
        <f t="shared" si="2"/>
        <v>Q</v>
      </c>
      <c r="Z7" s="5" t="str">
        <f t="shared" si="2"/>
        <v>S</v>
      </c>
      <c r="AA7" s="5" t="str">
        <f t="shared" si="2"/>
        <v>S</v>
      </c>
      <c r="AB7" s="5" t="str">
        <f t="shared" si="2"/>
        <v>D</v>
      </c>
      <c r="AC7" s="5" t="str">
        <f t="shared" si="2"/>
        <v>S</v>
      </c>
      <c r="AD7" s="5" t="str">
        <f t="shared" si="2"/>
        <v>T</v>
      </c>
      <c r="AE7" s="5" t="str">
        <f t="shared" si="2"/>
        <v>Q</v>
      </c>
      <c r="AF7" s="5" t="str">
        <f t="shared" si="2"/>
        <v>Q</v>
      </c>
      <c r="AG7" s="5" t="str">
        <f t="shared" si="2"/>
        <v>S</v>
      </c>
      <c r="AH7" s="5" t="str">
        <f t="shared" si="2"/>
        <v>S</v>
      </c>
      <c r="AI7" s="5" t="str">
        <f t="shared" si="2"/>
        <v>D</v>
      </c>
      <c r="AJ7" s="5" t="str">
        <f t="shared" si="2"/>
        <v>S</v>
      </c>
      <c r="AK7" s="5" t="str">
        <f t="shared" si="2"/>
        <v>T</v>
      </c>
      <c r="AL7" s="5" t="str">
        <f t="shared" si="2"/>
        <v>Q</v>
      </c>
      <c r="AM7" s="5" t="str">
        <f t="shared" si="2"/>
        <v>Q</v>
      </c>
      <c r="AN7" s="5" t="str">
        <f t="shared" si="2"/>
        <v>S</v>
      </c>
      <c r="AO7" s="5" t="str">
        <f t="shared" si="2"/>
        <v>S</v>
      </c>
      <c r="AP7" s="5" t="str">
        <f t="shared" si="2"/>
        <v>D</v>
      </c>
      <c r="AQ7" s="5" t="str">
        <f t="shared" si="2"/>
        <v>S</v>
      </c>
      <c r="AR7" s="5" t="str">
        <f t="shared" si="2"/>
        <v>T</v>
      </c>
      <c r="AS7" s="5" t="str">
        <f t="shared" si="2"/>
        <v>Q</v>
      </c>
      <c r="AT7" s="5" t="str">
        <f t="shared" si="2"/>
        <v>Q</v>
      </c>
      <c r="AU7" s="5" t="str">
        <f t="shared" si="2"/>
        <v>S</v>
      </c>
      <c r="AV7" s="5" t="str">
        <f t="shared" si="2"/>
        <v>S</v>
      </c>
      <c r="AW7" s="5" t="str">
        <f t="shared" si="2"/>
        <v>D</v>
      </c>
      <c r="AX7" s="5" t="str">
        <f t="shared" si="2"/>
        <v>S</v>
      </c>
      <c r="AY7" s="5" t="str">
        <f t="shared" si="2"/>
        <v>T</v>
      </c>
      <c r="AZ7" s="5" t="str">
        <f t="shared" si="2"/>
        <v>Q</v>
      </c>
      <c r="BA7" s="5" t="str">
        <f t="shared" si="2"/>
        <v>Q</v>
      </c>
      <c r="BB7" s="5" t="str">
        <f t="shared" si="2"/>
        <v>S</v>
      </c>
      <c r="BC7" s="5" t="str">
        <f t="shared" si="2"/>
        <v>S</v>
      </c>
      <c r="BD7" s="5" t="str">
        <f t="shared" si="2"/>
        <v>D</v>
      </c>
      <c r="BE7" s="5" t="str">
        <f t="shared" si="2"/>
        <v>S</v>
      </c>
      <c r="BF7" s="5" t="str">
        <f t="shared" si="2"/>
        <v>T</v>
      </c>
      <c r="BG7" s="5" t="str">
        <f t="shared" si="2"/>
        <v>Q</v>
      </c>
      <c r="BH7" s="5" t="str">
        <f t="shared" si="2"/>
        <v>Q</v>
      </c>
      <c r="BI7" s="5" t="str">
        <f t="shared" si="2"/>
        <v>S</v>
      </c>
      <c r="BJ7" s="5" t="str">
        <f t="shared" si="2"/>
        <v>S</v>
      </c>
      <c r="BK7" s="5" t="str">
        <f t="shared" si="2"/>
        <v>D</v>
      </c>
      <c r="BL7" s="5" t="str">
        <f t="shared" si="2"/>
        <v>S</v>
      </c>
      <c r="BM7" s="5" t="str">
        <f t="shared" si="2"/>
        <v>T</v>
      </c>
      <c r="BN7" s="5" t="str">
        <f t="shared" si="2"/>
        <v>Q</v>
      </c>
      <c r="BO7" s="5" t="str">
        <f t="shared" si="2"/>
        <v>Q</v>
      </c>
      <c r="BP7" s="5" t="str">
        <f t="shared" si="2"/>
        <v>S</v>
      </c>
      <c r="BQ7" s="5" t="str">
        <f t="shared" si="2"/>
        <v>S</v>
      </c>
      <c r="BR7" s="5" t="str">
        <f t="shared" si="2"/>
        <v>D</v>
      </c>
      <c r="BS7" s="5" t="str">
        <f t="shared" si="2"/>
        <v>S</v>
      </c>
      <c r="BT7" s="5" t="str">
        <f t="shared" si="2"/>
        <v>T</v>
      </c>
      <c r="BU7" s="5" t="str">
        <f t="shared" si="2"/>
        <v>Q</v>
      </c>
      <c r="BV7" s="5" t="str">
        <f t="shared" si="2"/>
        <v>Q</v>
      </c>
      <c r="BW7" s="5" t="str">
        <f t="shared" si="2"/>
        <v>S</v>
      </c>
      <c r="BX7" s="5" t="str">
        <f t="shared" si="2"/>
        <v>S</v>
      </c>
      <c r="BY7" s="5" t="str">
        <f t="shared" si="2"/>
        <v>D</v>
      </c>
      <c r="BZ7" s="5" t="str">
        <f t="shared" si="2"/>
        <v>S</v>
      </c>
      <c r="CA7" s="5" t="str">
        <f t="shared" si="2"/>
        <v>T</v>
      </c>
      <c r="CB7" s="5" t="str">
        <f t="shared" ref="CB7:CE7" si="3">LEFT(UPPER(TEXT(WEEKDAY(CB6),"DDD")),1)</f>
        <v>Q</v>
      </c>
      <c r="CC7" s="5" t="str">
        <f t="shared" si="3"/>
        <v>Q</v>
      </c>
      <c r="CD7" s="5" t="str">
        <f t="shared" si="3"/>
        <v>S</v>
      </c>
      <c r="CE7" s="5" t="str">
        <f t="shared" si="3"/>
        <v>S</v>
      </c>
      <c r="CF7"/>
    </row>
    <row r="8" spans="1:84" x14ac:dyDescent="0.35">
      <c r="A8" s="40"/>
      <c r="B8" s="23"/>
      <c r="C8" s="24"/>
      <c r="D8" s="12"/>
      <c r="E8" s="12"/>
      <c r="F8" s="11"/>
      <c r="G8" s="11"/>
      <c r="H8" s="18"/>
      <c r="I8" s="12"/>
      <c r="J8" s="19"/>
      <c r="K8" s="11"/>
      <c r="L8" s="26"/>
      <c r="M8" s="21"/>
      <c r="N8" s="12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</row>
    <row r="9" spans="1:84" x14ac:dyDescent="0.35">
      <c r="B9" s="13" t="s">
        <v>45</v>
      </c>
      <c r="C9" s="27" t="s">
        <v>12</v>
      </c>
      <c r="D9" s="28">
        <f>M1</f>
        <v>45995</v>
      </c>
      <c r="E9" s="12">
        <f>D9+F9</f>
        <v>45996</v>
      </c>
      <c r="F9" s="25">
        <v>1</v>
      </c>
      <c r="G9" s="32"/>
      <c r="H9" s="18">
        <f ca="1">IF(D9="",0,IF(D9&gt;TODAY(),0,IF(E9&lt;TODAY(),1,(TODAY()-D9)/(E9-D9))))</f>
        <v>0</v>
      </c>
      <c r="I9" s="1"/>
      <c r="J9" s="12"/>
      <c r="K9" s="11"/>
      <c r="L9" s="32"/>
      <c r="M9" s="21">
        <v>1</v>
      </c>
      <c r="N9" s="12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</row>
    <row r="10" spans="1:84" ht="15.5" x14ac:dyDescent="0.35">
      <c r="B10" s="13" t="s">
        <v>47</v>
      </c>
      <c r="C10" s="13" t="s">
        <v>46</v>
      </c>
      <c r="D10" s="28">
        <f>E9</f>
        <v>45996</v>
      </c>
      <c r="E10" s="12">
        <f>D10+F10</f>
        <v>45998</v>
      </c>
      <c r="F10" s="25">
        <v>2</v>
      </c>
      <c r="G10" s="34" t="s">
        <v>35</v>
      </c>
      <c r="H10" s="18">
        <v>1</v>
      </c>
      <c r="I10" s="1">
        <v>45968</v>
      </c>
      <c r="J10" s="12">
        <f>I10+K10</f>
        <v>45969</v>
      </c>
      <c r="K10" s="25">
        <v>1</v>
      </c>
      <c r="L10" s="34" t="s">
        <v>35</v>
      </c>
      <c r="M10" s="21">
        <v>1</v>
      </c>
      <c r="N10" s="1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</row>
    <row r="11" spans="1:84" ht="15.5" x14ac:dyDescent="0.35">
      <c r="A11" s="40"/>
      <c r="B11" s="13"/>
      <c r="C11" s="13" t="s">
        <v>13</v>
      </c>
      <c r="D11" s="28">
        <f t="shared" ref="D11:D18" si="4">E10</f>
        <v>45998</v>
      </c>
      <c r="E11" s="12">
        <f t="shared" ref="E11:E20" si="5">D11+F11</f>
        <v>45999</v>
      </c>
      <c r="F11" s="25">
        <v>1</v>
      </c>
      <c r="G11" s="34" t="s">
        <v>35</v>
      </c>
      <c r="H11" s="18">
        <v>1</v>
      </c>
      <c r="I11" s="28">
        <v>45974</v>
      </c>
      <c r="J11" s="12">
        <v>45671</v>
      </c>
      <c r="K11" s="25">
        <v>2</v>
      </c>
      <c r="L11" s="35" t="s">
        <v>36</v>
      </c>
      <c r="M11" s="21">
        <v>1</v>
      </c>
      <c r="N11" s="1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</row>
    <row r="12" spans="1:84" x14ac:dyDescent="0.35">
      <c r="A12" s="40"/>
      <c r="B12" s="13"/>
      <c r="C12" s="13" t="s">
        <v>14</v>
      </c>
      <c r="D12" s="28">
        <f t="shared" si="4"/>
        <v>45999</v>
      </c>
      <c r="E12" s="12">
        <f t="shared" si="5"/>
        <v>46001</v>
      </c>
      <c r="F12" s="25">
        <v>2</v>
      </c>
      <c r="G12" s="33"/>
      <c r="H12" s="18"/>
      <c r="I12" s="12"/>
      <c r="J12" s="12"/>
      <c r="K12" s="25"/>
      <c r="L12" s="33"/>
      <c r="M12" s="21"/>
      <c r="N12" s="11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</row>
    <row r="13" spans="1:84" x14ac:dyDescent="0.35">
      <c r="A13" s="40"/>
      <c r="B13" s="13" t="s">
        <v>47</v>
      </c>
      <c r="C13" s="13" t="s">
        <v>48</v>
      </c>
      <c r="D13" s="28">
        <f t="shared" si="4"/>
        <v>46001</v>
      </c>
      <c r="E13" s="12">
        <f t="shared" si="5"/>
        <v>46003</v>
      </c>
      <c r="F13" s="25">
        <v>2</v>
      </c>
      <c r="G13" s="36" t="s">
        <v>37</v>
      </c>
      <c r="H13" s="18">
        <f t="shared" ref="H13" ca="1" si="6">IF(D13="",0,IF(D13&gt;TODAY(),0,IF(E13&lt;TODAY(),1,(TODAY()-D13)/(E13-D13))))</f>
        <v>0</v>
      </c>
      <c r="I13" s="28">
        <v>45979</v>
      </c>
      <c r="J13" s="12">
        <v>45981</v>
      </c>
      <c r="K13" s="25"/>
      <c r="L13" s="32"/>
      <c r="M13" s="21">
        <v>1</v>
      </c>
      <c r="N13" s="11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</row>
    <row r="14" spans="1:84" x14ac:dyDescent="0.35">
      <c r="A14" s="40"/>
      <c r="B14" s="13"/>
      <c r="C14" s="13" t="s">
        <v>15</v>
      </c>
      <c r="D14" s="28">
        <f t="shared" si="4"/>
        <v>46003</v>
      </c>
      <c r="E14" s="12">
        <f t="shared" si="5"/>
        <v>46005.2</v>
      </c>
      <c r="F14" s="25">
        <v>2.2000000000000002</v>
      </c>
      <c r="G14" s="32"/>
      <c r="H14" s="18">
        <f ca="1">IF(D14="",0,IF(D14&gt;TODAY(),0,IF(E14&lt;TODAY(),1,(TODAY()-D14)/(E14-D14))))</f>
        <v>0</v>
      </c>
      <c r="I14" s="12">
        <v>45979</v>
      </c>
      <c r="J14" s="12">
        <v>45981</v>
      </c>
      <c r="K14" s="25"/>
      <c r="L14" s="32"/>
      <c r="M14" s="21">
        <v>1</v>
      </c>
      <c r="N14" s="11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</row>
    <row r="15" spans="1:84" x14ac:dyDescent="0.35">
      <c r="A15" s="40"/>
      <c r="B15" s="13"/>
      <c r="C15" s="13" t="s">
        <v>16</v>
      </c>
      <c r="D15" s="28">
        <f t="shared" si="4"/>
        <v>46005.2</v>
      </c>
      <c r="E15" s="12">
        <f t="shared" si="5"/>
        <v>46007.6</v>
      </c>
      <c r="F15" s="25">
        <v>2.4</v>
      </c>
      <c r="G15" s="33"/>
      <c r="H15" s="18"/>
      <c r="I15" s="12">
        <v>45972</v>
      </c>
      <c r="J15" s="12">
        <v>45975</v>
      </c>
      <c r="K15" s="25"/>
      <c r="L15" s="33"/>
      <c r="M15" s="21">
        <v>0.9</v>
      </c>
      <c r="N15" s="11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</row>
    <row r="16" spans="1:84" x14ac:dyDescent="0.35">
      <c r="A16" s="40"/>
      <c r="B16" s="13"/>
      <c r="C16" s="13" t="s">
        <v>17</v>
      </c>
      <c r="D16" s="28">
        <f t="shared" si="4"/>
        <v>46007.6</v>
      </c>
      <c r="E16" s="12">
        <f t="shared" si="5"/>
        <v>46010.2</v>
      </c>
      <c r="F16" s="25">
        <v>2.6</v>
      </c>
      <c r="G16" s="32"/>
      <c r="H16" s="18">
        <f t="shared" ref="H16:H39" ca="1" si="7">IF(D16="",0,IF(D16&gt;TODAY(),0,IF(E16&lt;TODAY(),1,(TODAY()-D16)/(E16-D16))))</f>
        <v>0</v>
      </c>
      <c r="I16" s="12"/>
      <c r="J16" s="12"/>
      <c r="K16" s="25"/>
      <c r="L16" s="32"/>
      <c r="M16" s="21">
        <v>0</v>
      </c>
      <c r="N16" s="11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</row>
    <row r="17" spans="1:83" x14ac:dyDescent="0.35">
      <c r="A17" s="40"/>
      <c r="B17" s="13"/>
      <c r="C17" s="13" t="s">
        <v>18</v>
      </c>
      <c r="D17" s="28">
        <f t="shared" si="4"/>
        <v>46010.2</v>
      </c>
      <c r="E17" s="12">
        <f t="shared" si="5"/>
        <v>46013</v>
      </c>
      <c r="F17" s="25">
        <v>2.8</v>
      </c>
      <c r="G17" s="32"/>
      <c r="H17" s="18">
        <f t="shared" ca="1" si="7"/>
        <v>0</v>
      </c>
      <c r="I17" s="12"/>
      <c r="J17" s="12"/>
      <c r="K17" s="25"/>
      <c r="L17" s="32"/>
      <c r="M17" s="21">
        <v>0</v>
      </c>
      <c r="N17" s="11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</row>
    <row r="18" spans="1:83" x14ac:dyDescent="0.35">
      <c r="A18" s="40"/>
      <c r="B18" s="13"/>
      <c r="C18" s="13" t="s">
        <v>19</v>
      </c>
      <c r="D18" s="28">
        <f t="shared" si="4"/>
        <v>46013</v>
      </c>
      <c r="E18" s="12">
        <f t="shared" si="5"/>
        <v>46016</v>
      </c>
      <c r="F18" s="25">
        <v>3</v>
      </c>
      <c r="G18" s="33"/>
      <c r="H18" s="18"/>
      <c r="I18" s="12"/>
      <c r="J18" s="12"/>
      <c r="K18" s="25"/>
      <c r="L18" s="33"/>
      <c r="M18" s="21"/>
      <c r="N18" s="11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</row>
    <row r="19" spans="1:83" x14ac:dyDescent="0.35">
      <c r="A19" s="40"/>
      <c r="B19" s="13"/>
      <c r="C19" s="13" t="s">
        <v>20</v>
      </c>
      <c r="D19" s="28"/>
      <c r="E19" s="12"/>
      <c r="F19" s="25"/>
      <c r="G19" s="33"/>
      <c r="H19" s="18"/>
      <c r="I19" s="12"/>
      <c r="J19" s="12"/>
      <c r="K19" s="25"/>
      <c r="L19" s="33"/>
      <c r="M19" s="21"/>
      <c r="N19" s="11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</row>
    <row r="20" spans="1:83" x14ac:dyDescent="0.35">
      <c r="A20" s="40"/>
      <c r="B20" s="13" t="s">
        <v>45</v>
      </c>
      <c r="C20" s="27" t="s">
        <v>21</v>
      </c>
      <c r="D20" s="1">
        <f>E18</f>
        <v>46016</v>
      </c>
      <c r="E20" s="12">
        <f t="shared" si="5"/>
        <v>46017</v>
      </c>
      <c r="F20" s="25">
        <v>1</v>
      </c>
      <c r="G20" s="32"/>
      <c r="H20" s="18">
        <f t="shared" ca="1" si="7"/>
        <v>0</v>
      </c>
      <c r="I20" s="12"/>
      <c r="J20" s="12"/>
      <c r="K20" s="25"/>
      <c r="L20" s="32"/>
      <c r="M20" s="21">
        <v>0</v>
      </c>
      <c r="N20" s="11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</row>
    <row r="21" spans="1:83" x14ac:dyDescent="0.35">
      <c r="A21" s="40"/>
      <c r="B21" s="13" t="s">
        <v>47</v>
      </c>
      <c r="C21" s="13" t="s">
        <v>49</v>
      </c>
      <c r="D21" s="28">
        <f>E20</f>
        <v>46017</v>
      </c>
      <c r="E21" s="12">
        <f>D21+F21</f>
        <v>46019</v>
      </c>
      <c r="F21" s="25">
        <v>2</v>
      </c>
      <c r="G21" s="32"/>
      <c r="H21" s="18">
        <f t="shared" ca="1" si="7"/>
        <v>0</v>
      </c>
      <c r="I21" s="12"/>
      <c r="J21" s="12"/>
      <c r="K21" s="25"/>
      <c r="L21" s="32"/>
      <c r="M21" s="21">
        <v>0</v>
      </c>
      <c r="N21" s="11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</row>
    <row r="22" spans="1:83" x14ac:dyDescent="0.35">
      <c r="A22" s="40"/>
      <c r="B22" s="13"/>
      <c r="C22" s="13" t="s">
        <v>22</v>
      </c>
      <c r="D22" s="28">
        <f t="shared" ref="D22:D33" si="8">E21</f>
        <v>46019</v>
      </c>
      <c r="E22" s="12">
        <f t="shared" ref="E22:E39" si="9">D22+F22</f>
        <v>46020</v>
      </c>
      <c r="F22" s="25">
        <v>1</v>
      </c>
      <c r="G22" s="33"/>
      <c r="H22" s="18">
        <f t="shared" ca="1" si="7"/>
        <v>0</v>
      </c>
      <c r="I22" s="12"/>
      <c r="J22" s="12"/>
      <c r="K22" s="25"/>
      <c r="L22" s="33"/>
      <c r="M22" s="21"/>
      <c r="N22" s="11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</row>
    <row r="23" spans="1:83" x14ac:dyDescent="0.35">
      <c r="A23" s="40"/>
      <c r="B23" s="13"/>
      <c r="C23" s="13" t="s">
        <v>23</v>
      </c>
      <c r="D23" s="28">
        <f t="shared" si="8"/>
        <v>46020</v>
      </c>
      <c r="E23" s="12">
        <f t="shared" si="9"/>
        <v>46022</v>
      </c>
      <c r="F23" s="25">
        <v>2</v>
      </c>
      <c r="G23" s="32"/>
      <c r="H23" s="18">
        <f t="shared" ca="1" si="7"/>
        <v>0</v>
      </c>
      <c r="I23" s="12"/>
      <c r="J23" s="12"/>
      <c r="K23" s="25"/>
      <c r="L23" s="32"/>
      <c r="M23" s="21">
        <v>0</v>
      </c>
      <c r="N23" s="11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</row>
    <row r="24" spans="1:83" x14ac:dyDescent="0.35">
      <c r="A24" s="40"/>
      <c r="B24" s="13" t="s">
        <v>47</v>
      </c>
      <c r="C24" s="13" t="s">
        <v>24</v>
      </c>
      <c r="D24" s="28">
        <f t="shared" si="8"/>
        <v>46022</v>
      </c>
      <c r="E24" s="12">
        <f t="shared" si="9"/>
        <v>46023</v>
      </c>
      <c r="F24" s="25">
        <v>1</v>
      </c>
      <c r="G24" s="32"/>
      <c r="H24" s="18">
        <f t="shared" ca="1" si="7"/>
        <v>0</v>
      </c>
      <c r="I24" s="12"/>
      <c r="J24" s="12"/>
      <c r="K24" s="25"/>
      <c r="L24" s="32"/>
      <c r="M24" s="21">
        <v>0</v>
      </c>
      <c r="N24" s="11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</row>
    <row r="25" spans="1:83" x14ac:dyDescent="0.35">
      <c r="A25" s="40"/>
      <c r="B25" s="13"/>
      <c r="C25" s="13" t="s">
        <v>26</v>
      </c>
      <c r="D25" s="28">
        <f t="shared" si="8"/>
        <v>46023</v>
      </c>
      <c r="E25" s="12">
        <f t="shared" si="9"/>
        <v>46025</v>
      </c>
      <c r="F25" s="25">
        <v>2</v>
      </c>
      <c r="G25" s="32"/>
      <c r="H25" s="18">
        <f t="shared" ca="1" si="7"/>
        <v>0</v>
      </c>
      <c r="I25" s="12"/>
      <c r="J25" s="12"/>
      <c r="K25" s="25"/>
      <c r="L25" s="32"/>
      <c r="M25" s="21">
        <v>0</v>
      </c>
      <c r="N25" s="11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</row>
    <row r="26" spans="1:83" x14ac:dyDescent="0.35">
      <c r="A26" s="40"/>
      <c r="B26" s="13"/>
      <c r="C26" s="13" t="s">
        <v>27</v>
      </c>
      <c r="D26" s="28">
        <f t="shared" si="8"/>
        <v>46025</v>
      </c>
      <c r="E26" s="12">
        <f t="shared" si="9"/>
        <v>46026</v>
      </c>
      <c r="F26" s="25">
        <v>1</v>
      </c>
      <c r="G26" s="32"/>
      <c r="H26" s="18">
        <f t="shared" ca="1" si="7"/>
        <v>0</v>
      </c>
      <c r="I26" s="12"/>
      <c r="J26" s="12"/>
      <c r="K26" s="25"/>
      <c r="L26" s="32"/>
      <c r="M26" s="21">
        <v>0</v>
      </c>
      <c r="N26" s="11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</row>
    <row r="27" spans="1:83" x14ac:dyDescent="0.35">
      <c r="A27" s="40"/>
      <c r="B27" s="13"/>
      <c r="C27" s="13" t="s">
        <v>28</v>
      </c>
      <c r="D27" s="28">
        <f t="shared" si="8"/>
        <v>46026</v>
      </c>
      <c r="E27" s="12">
        <f t="shared" si="9"/>
        <v>46028</v>
      </c>
      <c r="F27" s="25">
        <v>2</v>
      </c>
      <c r="G27" s="32"/>
      <c r="H27" s="18">
        <f t="shared" ca="1" si="7"/>
        <v>0</v>
      </c>
      <c r="I27" s="12"/>
      <c r="J27" s="12"/>
      <c r="K27" s="25"/>
      <c r="L27" s="32"/>
      <c r="M27" s="21">
        <v>0</v>
      </c>
      <c r="N27" s="11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</row>
    <row r="28" spans="1:83" x14ac:dyDescent="0.35">
      <c r="A28" s="40"/>
      <c r="B28" s="13"/>
      <c r="C28" s="13" t="s">
        <v>27</v>
      </c>
      <c r="D28" s="28">
        <f t="shared" si="8"/>
        <v>46028</v>
      </c>
      <c r="E28" s="12">
        <f t="shared" si="9"/>
        <v>46029</v>
      </c>
      <c r="F28" s="25">
        <v>1</v>
      </c>
      <c r="G28" s="32"/>
      <c r="H28" s="18">
        <f t="shared" ca="1" si="7"/>
        <v>0</v>
      </c>
      <c r="I28" s="12"/>
      <c r="J28" s="12"/>
      <c r="K28" s="25"/>
      <c r="L28" s="32"/>
      <c r="M28" s="21">
        <v>0</v>
      </c>
      <c r="N28" s="11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</row>
    <row r="29" spans="1:83" x14ac:dyDescent="0.35">
      <c r="A29" s="40"/>
      <c r="B29" s="13"/>
      <c r="C29" s="13" t="s">
        <v>25</v>
      </c>
      <c r="D29" s="28">
        <f>E28</f>
        <v>46029</v>
      </c>
      <c r="E29" s="12">
        <f>D29+F29</f>
        <v>46031</v>
      </c>
      <c r="F29" s="25">
        <v>2</v>
      </c>
      <c r="G29" s="32"/>
      <c r="H29" s="18">
        <f t="shared" ca="1" si="7"/>
        <v>0</v>
      </c>
      <c r="I29" s="12"/>
      <c r="J29" s="12"/>
      <c r="K29" s="25"/>
      <c r="L29" s="32"/>
      <c r="M29" s="21">
        <v>0</v>
      </c>
      <c r="N29" s="11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</row>
    <row r="30" spans="1:83" x14ac:dyDescent="0.35">
      <c r="A30" s="40"/>
      <c r="B30" s="13"/>
      <c r="C30" s="13" t="s">
        <v>29</v>
      </c>
      <c r="D30" s="28">
        <f t="shared" si="8"/>
        <v>46031</v>
      </c>
      <c r="E30" s="12">
        <f t="shared" si="9"/>
        <v>46032</v>
      </c>
      <c r="F30" s="25">
        <v>1</v>
      </c>
      <c r="G30" s="32"/>
      <c r="H30" s="18">
        <f t="shared" ca="1" si="7"/>
        <v>0</v>
      </c>
      <c r="I30" s="12"/>
      <c r="J30" s="12"/>
      <c r="K30" s="25"/>
      <c r="L30" s="32"/>
      <c r="M30" s="21">
        <v>0</v>
      </c>
      <c r="N30" s="11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</row>
    <row r="31" spans="1:83" x14ac:dyDescent="0.35">
      <c r="A31" s="40"/>
      <c r="B31" s="13"/>
      <c r="C31" s="13" t="s">
        <v>26</v>
      </c>
      <c r="D31" s="28">
        <f t="shared" si="8"/>
        <v>46032</v>
      </c>
      <c r="E31" s="12">
        <f t="shared" si="9"/>
        <v>46034</v>
      </c>
      <c r="F31" s="25">
        <v>2</v>
      </c>
      <c r="G31" s="32"/>
      <c r="H31" s="18">
        <f t="shared" ca="1" si="7"/>
        <v>0</v>
      </c>
      <c r="I31" s="12"/>
      <c r="J31" s="12"/>
      <c r="K31" s="25"/>
      <c r="L31" s="32"/>
      <c r="M31" s="21">
        <v>0</v>
      </c>
      <c r="N31" s="11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</row>
    <row r="32" spans="1:83" x14ac:dyDescent="0.35">
      <c r="A32" s="40"/>
      <c r="B32" s="13"/>
      <c r="C32" s="13" t="s">
        <v>27</v>
      </c>
      <c r="D32" s="28">
        <f t="shared" si="8"/>
        <v>46034</v>
      </c>
      <c r="E32" s="12">
        <f t="shared" si="9"/>
        <v>46047</v>
      </c>
      <c r="F32" s="25">
        <v>13</v>
      </c>
      <c r="G32" s="32"/>
      <c r="H32" s="18">
        <f t="shared" ca="1" si="7"/>
        <v>0</v>
      </c>
      <c r="I32" s="12"/>
      <c r="J32" s="12"/>
      <c r="K32" s="25"/>
      <c r="L32" s="32"/>
      <c r="M32" s="21">
        <v>0</v>
      </c>
      <c r="N32" s="11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</row>
    <row r="33" spans="1:83" x14ac:dyDescent="0.35">
      <c r="A33" s="40"/>
      <c r="B33" s="13"/>
      <c r="C33" s="13" t="s">
        <v>28</v>
      </c>
      <c r="D33" s="28">
        <f t="shared" si="8"/>
        <v>46047</v>
      </c>
      <c r="E33" s="12">
        <f t="shared" si="9"/>
        <v>46049</v>
      </c>
      <c r="F33" s="25">
        <v>2</v>
      </c>
      <c r="G33" s="32"/>
      <c r="H33" s="18">
        <f t="shared" ca="1" si="7"/>
        <v>0</v>
      </c>
      <c r="I33" s="12"/>
      <c r="J33" s="12"/>
      <c r="K33" s="25"/>
      <c r="L33" s="32"/>
      <c r="M33" s="21">
        <v>0</v>
      </c>
      <c r="N33" s="11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</row>
    <row r="34" spans="1:83" x14ac:dyDescent="0.35">
      <c r="A34" s="40"/>
      <c r="B34" s="13"/>
      <c r="C34" s="13" t="s">
        <v>30</v>
      </c>
      <c r="D34" s="1">
        <v>45981</v>
      </c>
      <c r="E34" s="12">
        <f t="shared" si="9"/>
        <v>45984</v>
      </c>
      <c r="F34" s="25">
        <v>3</v>
      </c>
      <c r="G34" s="32"/>
      <c r="H34" s="18">
        <f t="shared" ca="1" si="7"/>
        <v>1</v>
      </c>
      <c r="I34" s="12"/>
      <c r="J34" s="12"/>
      <c r="K34" s="25"/>
      <c r="L34" s="32"/>
      <c r="M34" s="21">
        <v>0</v>
      </c>
      <c r="N34" s="11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</row>
    <row r="35" spans="1:83" x14ac:dyDescent="0.35">
      <c r="A35" s="40"/>
      <c r="B35" s="13"/>
      <c r="C35" s="13" t="s">
        <v>26</v>
      </c>
      <c r="D35" s="12"/>
      <c r="E35" s="12"/>
      <c r="F35" s="25"/>
      <c r="G35" s="32"/>
      <c r="H35" s="18">
        <f t="shared" ca="1" si="7"/>
        <v>0</v>
      </c>
      <c r="I35" s="12"/>
      <c r="J35" s="12"/>
      <c r="K35" s="25"/>
      <c r="L35" s="32"/>
      <c r="M35" s="21">
        <v>0</v>
      </c>
      <c r="N35" s="11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</row>
    <row r="36" spans="1:83" x14ac:dyDescent="0.35">
      <c r="A36" s="40"/>
      <c r="B36" s="13"/>
      <c r="C36" s="13" t="s">
        <v>27</v>
      </c>
      <c r="D36" s="1">
        <v>45980</v>
      </c>
      <c r="E36" s="12">
        <f t="shared" si="9"/>
        <v>45981</v>
      </c>
      <c r="F36" s="25">
        <v>1</v>
      </c>
      <c r="G36" s="32"/>
      <c r="H36" s="18">
        <f t="shared" ca="1" si="7"/>
        <v>1</v>
      </c>
      <c r="I36" s="12"/>
      <c r="J36" s="12"/>
      <c r="K36" s="25"/>
      <c r="L36" s="32"/>
      <c r="M36" s="21">
        <v>0</v>
      </c>
      <c r="N36" s="11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</row>
    <row r="37" spans="1:83" x14ac:dyDescent="0.35">
      <c r="A37" s="40"/>
      <c r="B37" s="13"/>
      <c r="C37" s="13" t="s">
        <v>28</v>
      </c>
      <c r="D37" s="28">
        <f t="shared" ref="D37" si="10">E36</f>
        <v>45981</v>
      </c>
      <c r="E37" s="12">
        <f t="shared" si="9"/>
        <v>45983</v>
      </c>
      <c r="F37" s="25">
        <v>2</v>
      </c>
      <c r="G37" s="32"/>
      <c r="H37" s="18">
        <f t="shared" ca="1" si="7"/>
        <v>1</v>
      </c>
      <c r="I37" s="12"/>
      <c r="J37" s="12"/>
      <c r="K37" s="25"/>
      <c r="L37" s="32"/>
      <c r="M37" s="21">
        <v>0</v>
      </c>
      <c r="N37" s="11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</row>
    <row r="38" spans="1:83" x14ac:dyDescent="0.35">
      <c r="A38" s="40"/>
      <c r="B38" s="13" t="s">
        <v>47</v>
      </c>
      <c r="C38" s="13" t="s">
        <v>50</v>
      </c>
      <c r="D38" s="1">
        <v>45981</v>
      </c>
      <c r="E38" s="12">
        <f t="shared" si="9"/>
        <v>45984</v>
      </c>
      <c r="F38" s="25">
        <v>3</v>
      </c>
      <c r="G38" s="32"/>
      <c r="H38" s="18">
        <f t="shared" ca="1" si="7"/>
        <v>1</v>
      </c>
      <c r="I38" s="12"/>
      <c r="J38" s="12"/>
      <c r="K38" s="25"/>
      <c r="L38" s="32"/>
      <c r="M38" s="21">
        <v>0</v>
      </c>
      <c r="N38" s="11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</row>
    <row r="39" spans="1:83" x14ac:dyDescent="0.35">
      <c r="A39" s="40"/>
      <c r="B39" s="13"/>
      <c r="C39" s="13" t="s">
        <v>31</v>
      </c>
      <c r="D39" s="1">
        <v>45982</v>
      </c>
      <c r="E39" s="12">
        <f t="shared" si="9"/>
        <v>45986</v>
      </c>
      <c r="F39" s="25">
        <v>4</v>
      </c>
      <c r="G39" s="32"/>
      <c r="H39" s="18">
        <f t="shared" ca="1" si="7"/>
        <v>1</v>
      </c>
      <c r="I39" s="12"/>
      <c r="J39" s="12"/>
      <c r="K39" s="25"/>
      <c r="L39" s="32"/>
      <c r="M39" s="21">
        <v>1</v>
      </c>
      <c r="N39" s="11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</row>
    <row r="40" spans="1:83" x14ac:dyDescent="0.35">
      <c r="A40" s="40"/>
      <c r="B40" s="13"/>
      <c r="C40" s="13" t="s">
        <v>32</v>
      </c>
      <c r="D40" s="12"/>
      <c r="E40" s="12"/>
      <c r="F40" s="25"/>
      <c r="G40" s="25"/>
      <c r="H40" s="18"/>
      <c r="I40" s="12"/>
      <c r="J40" s="12"/>
      <c r="K40" s="25"/>
      <c r="L40" s="26"/>
      <c r="M40" s="21"/>
      <c r="N40" s="11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</row>
    <row r="41" spans="1:83" x14ac:dyDescent="0.35">
      <c r="A41" s="40"/>
      <c r="B41" s="13"/>
      <c r="C41" s="13" t="s">
        <v>33</v>
      </c>
      <c r="D41" s="12"/>
      <c r="E41" s="12"/>
      <c r="F41" s="25"/>
      <c r="G41" s="26"/>
      <c r="H41" s="18"/>
      <c r="I41" s="12"/>
      <c r="J41" s="12"/>
      <c r="K41" s="25"/>
      <c r="L41" s="26"/>
      <c r="M41" s="21"/>
      <c r="N41" s="11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</row>
    <row r="42" spans="1:83" x14ac:dyDescent="0.35">
      <c r="A42" s="40"/>
      <c r="B42" s="13" t="s">
        <v>47</v>
      </c>
      <c r="C42" s="13" t="s">
        <v>34</v>
      </c>
      <c r="D42" s="12"/>
      <c r="E42" s="12"/>
      <c r="F42" s="25"/>
      <c r="G42" s="25"/>
      <c r="H42" s="18"/>
      <c r="I42" s="12"/>
      <c r="J42" s="12"/>
      <c r="K42" s="25"/>
      <c r="L42" s="26"/>
      <c r="M42" s="21"/>
      <c r="N42" s="11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</row>
    <row r="43" spans="1:83" x14ac:dyDescent="0.35">
      <c r="A43" s="40"/>
      <c r="B43" s="13"/>
      <c r="C43" s="13"/>
      <c r="D43" s="12"/>
      <c r="E43" s="12"/>
      <c r="F43" s="25"/>
      <c r="G43" s="25"/>
      <c r="H43" s="18"/>
      <c r="I43" s="12"/>
      <c r="J43" s="12"/>
      <c r="K43" s="25"/>
      <c r="L43" s="26"/>
      <c r="M43" s="21"/>
      <c r="N43" s="11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</row>
    <row r="44" spans="1:83" x14ac:dyDescent="0.35">
      <c r="A44" s="40"/>
      <c r="B44" s="13"/>
      <c r="C44" s="13"/>
      <c r="D44" s="12"/>
      <c r="E44" s="12"/>
      <c r="F44" s="25"/>
      <c r="G44" s="26"/>
      <c r="H44" s="18"/>
      <c r="I44" s="12"/>
      <c r="J44" s="12"/>
      <c r="K44" s="25"/>
      <c r="L44" s="26"/>
      <c r="M44" s="21"/>
      <c r="N44" s="11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</row>
    <row r="45" spans="1:83" x14ac:dyDescent="0.35">
      <c r="A45" s="40"/>
      <c r="B45" s="13" t="str">
        <f t="shared" ref="B45" si="11">IF(C45="","",IF(C45&gt;=$H$6,"Ongoing","Legado"))</f>
        <v/>
      </c>
      <c r="C45" s="24"/>
      <c r="D45" s="12"/>
      <c r="E45" s="12"/>
      <c r="F45" s="11"/>
      <c r="G45" s="11"/>
      <c r="H45" s="18"/>
      <c r="I45" s="11"/>
      <c r="J45" s="11"/>
      <c r="K45" s="11"/>
      <c r="L45" s="26"/>
      <c r="M45" s="21"/>
      <c r="N45" s="11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</row>
    <row r="47" spans="1:83" x14ac:dyDescent="0.35">
      <c r="D47" s="1"/>
    </row>
  </sheetData>
  <mergeCells count="2">
    <mergeCell ref="C2:D2"/>
    <mergeCell ref="C3:D5"/>
  </mergeCells>
  <conditionalFormatting sqref="H36:H39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{4412F543-0585-48EC-9D07-194727F29E04}</x14:id>
        </ext>
      </extLst>
    </cfRule>
  </conditionalFormatting>
  <conditionalFormatting sqref="H40:H45 H8:H35">
    <cfRule type="dataBar" priority="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{C57254E3-7105-4044-8612-BAD2C8F261C7}</x14:id>
        </ext>
      </extLst>
    </cfRule>
  </conditionalFormatting>
  <conditionalFormatting sqref="M36:M39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{AA28F9A4-E8C2-4F35-9814-1C0DBFC94559}</x14:id>
        </ext>
      </extLst>
    </cfRule>
  </conditionalFormatting>
  <conditionalFormatting sqref="M40:M45 M8:M35">
    <cfRule type="dataBar" priority="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{4207C0CD-0827-425C-890F-56D86569085F}</x14:id>
        </ext>
      </extLst>
    </cfRule>
  </conditionalFormatting>
  <conditionalFormatting sqref="N6:CE45">
    <cfRule type="expression" dxfId="14" priority="4">
      <formula>N$6=TODAY()</formula>
    </cfRule>
  </conditionalFormatting>
  <conditionalFormatting sqref="N7:CE45">
    <cfRule type="expression" dxfId="12" priority="5">
      <formula>OR(WEEKDAY(N$6)=1,WEEKDAY(N$6)=7)</formula>
    </cfRule>
  </conditionalFormatting>
  <conditionalFormatting sqref="N8:CE45">
    <cfRule type="expression" dxfId="11" priority="6">
      <formula>AND($I8&lt;&gt;"",$J8&lt;&gt;"",N$6&lt;=data_progresso,N$6&gt;=$I8,N$6&lt;=$J8)</formula>
    </cfRule>
    <cfRule type="expression" dxfId="10" priority="7">
      <formula>AND(N$6&gt;=$D8,N$6&lt;=$E8,$D8&lt;&gt;"",$E8&lt;&gt;"")</formula>
    </cfRule>
  </conditionalFormatting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Scroll Bar 1">
              <controlPr defaultSize="0" autoPict="0">
                <anchor moveWithCells="1">
                  <from>
                    <xdr:col>13</xdr:col>
                    <xdr:colOff>12700</xdr:colOff>
                    <xdr:row>1</xdr:row>
                    <xdr:rowOff>50800</xdr:rowOff>
                  </from>
                  <to>
                    <xdr:col>18</xdr:col>
                    <xdr:colOff>165100</xdr:colOff>
                    <xdr:row>2</xdr:row>
                    <xdr:rowOff>139700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12F543-0585-48EC-9D07-194727F29E0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H36:H39</xm:sqref>
        </x14:conditionalFormatting>
        <x14:conditionalFormatting xmlns:xm="http://schemas.microsoft.com/office/excel/2006/main">
          <x14:cfRule type="dataBar" id="{C57254E3-7105-4044-8612-BAD2C8F261C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H40:H45 H8:H35</xm:sqref>
        </x14:conditionalFormatting>
        <x14:conditionalFormatting xmlns:xm="http://schemas.microsoft.com/office/excel/2006/main">
          <x14:cfRule type="dataBar" id="{AA28F9A4-E8C2-4F35-9814-1C0DBFC9455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M36:M39</xm:sqref>
        </x14:conditionalFormatting>
        <x14:conditionalFormatting xmlns:xm="http://schemas.microsoft.com/office/excel/2006/main">
          <x14:cfRule type="dataBar" id="{4207C0CD-0827-425C-890F-56D86569085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M40:M45 M8:M35</xm:sqref>
        </x14:conditionalFormatting>
        <x14:conditionalFormatting xmlns:xm="http://schemas.microsoft.com/office/excel/2006/main">
          <x14:cfRule type="expression" priority="3" id="{C1598C70-1D1F-4303-8E42-6A062D5704C3}">
            <xm:f>MATCH(N$6,#REF!,0)</xm:f>
            <x14:dxf>
              <fill>
                <patternFill patternType="lightUp">
                  <fgColor rgb="FFFF0000"/>
                </patternFill>
              </fill>
            </x14:dxf>
          </x14:cfRule>
          <xm:sqref>N7:CE45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39B7-DE9F-4250-992B-82CC049C477E}">
  <dimension ref="A1:CF47"/>
  <sheetViews>
    <sheetView zoomScale="50" zoomScaleNormal="50" workbookViewId="0">
      <selection activeCell="I2" sqref="I2:I4"/>
    </sheetView>
  </sheetViews>
  <sheetFormatPr defaultRowHeight="14.5" outlineLevelCol="1" x14ac:dyDescent="0.35"/>
  <cols>
    <col min="1" max="1" width="7.7265625" style="38" bestFit="1" customWidth="1"/>
    <col min="2" max="2" width="15.26953125" customWidth="1"/>
    <col min="3" max="3" width="33.90625" style="3" customWidth="1"/>
    <col min="4" max="4" width="16.81640625" customWidth="1" outlineLevel="1"/>
    <col min="5" max="5" width="15.08984375" customWidth="1" outlineLevel="1"/>
    <col min="6" max="6" width="6.453125" customWidth="1" outlineLevel="1"/>
    <col min="7" max="7" width="17.81640625" bestFit="1" customWidth="1" outlineLevel="1"/>
    <col min="8" max="8" width="11.08984375" customWidth="1" outlineLevel="1"/>
    <col min="9" max="10" width="11" bestFit="1" customWidth="1"/>
    <col min="11" max="11" width="9.453125" bestFit="1" customWidth="1"/>
    <col min="12" max="12" width="16.7265625" bestFit="1" customWidth="1"/>
    <col min="13" max="13" width="11.08984375" bestFit="1" customWidth="1"/>
    <col min="14" max="14" width="3" style="3" bestFit="1" customWidth="1"/>
    <col min="15" max="15" width="3" bestFit="1" customWidth="1"/>
    <col min="16" max="16" width="6.90625" bestFit="1" customWidth="1"/>
    <col min="17" max="56" width="3" bestFit="1" customWidth="1"/>
    <col min="57" max="83" width="3.08984375" bestFit="1" customWidth="1"/>
  </cols>
  <sheetData>
    <row r="1" spans="1:84" s="42" customFormat="1" ht="13.5" customHeight="1" x14ac:dyDescent="0.35">
      <c r="A1" s="37"/>
      <c r="B1" s="41"/>
      <c r="C1" s="50"/>
      <c r="D1" s="41"/>
      <c r="E1" s="44" t="s">
        <v>38</v>
      </c>
      <c r="F1" s="45"/>
      <c r="G1" s="44" t="s">
        <v>41</v>
      </c>
      <c r="I1" s="42" t="s">
        <v>60</v>
      </c>
      <c r="J1" s="42" t="s">
        <v>63</v>
      </c>
      <c r="L1" s="49" t="s">
        <v>4</v>
      </c>
      <c r="M1" s="48">
        <v>45995</v>
      </c>
      <c r="N1" s="43"/>
    </row>
    <row r="2" spans="1:84" s="42" customFormat="1" ht="21" x14ac:dyDescent="0.5">
      <c r="A2" s="37"/>
      <c r="B2" s="41"/>
      <c r="C2" s="54" t="s">
        <v>53</v>
      </c>
      <c r="D2" s="54"/>
      <c r="E2" s="44" t="s">
        <v>39</v>
      </c>
      <c r="F2" s="45"/>
      <c r="G2" s="44" t="s">
        <v>42</v>
      </c>
      <c r="I2" s="42" t="s">
        <v>65</v>
      </c>
      <c r="J2" s="42" t="s">
        <v>57</v>
      </c>
      <c r="L2" s="49" t="s">
        <v>5</v>
      </c>
      <c r="M2" s="49">
        <v>1</v>
      </c>
      <c r="N2" s="43"/>
    </row>
    <row r="3" spans="1:84" s="42" customFormat="1" ht="18" x14ac:dyDescent="0.35">
      <c r="A3" s="51" t="s">
        <v>55</v>
      </c>
      <c r="B3" s="41"/>
      <c r="C3" s="53" t="s">
        <v>62</v>
      </c>
      <c r="D3" s="53"/>
      <c r="E3" s="44" t="s">
        <v>40</v>
      </c>
      <c r="F3" s="45"/>
      <c r="G3" s="44" t="s">
        <v>43</v>
      </c>
      <c r="I3" s="42" t="s">
        <v>66</v>
      </c>
      <c r="J3" s="42" t="s">
        <v>58</v>
      </c>
      <c r="M3" s="49"/>
      <c r="N3" s="43"/>
    </row>
    <row r="4" spans="1:84" s="42" customFormat="1" x14ac:dyDescent="0.35">
      <c r="A4" s="51" t="s">
        <v>51</v>
      </c>
      <c r="B4" s="52" t="s">
        <v>61</v>
      </c>
      <c r="C4" s="53"/>
      <c r="D4" s="53"/>
      <c r="E4" s="44"/>
      <c r="F4" s="45"/>
      <c r="G4" s="44"/>
      <c r="I4" s="42" t="s">
        <v>67</v>
      </c>
      <c r="J4" s="42" t="s">
        <v>59</v>
      </c>
      <c r="M4" s="49"/>
      <c r="N4" s="43"/>
    </row>
    <row r="5" spans="1:84" ht="21.5" customHeight="1" x14ac:dyDescent="0.35">
      <c r="A5" s="51" t="s">
        <v>44</v>
      </c>
      <c r="B5" s="50"/>
      <c r="C5" s="53"/>
      <c r="D5" s="53"/>
      <c r="E5" s="46"/>
      <c r="F5" s="42"/>
      <c r="G5" s="47"/>
      <c r="H5" s="42"/>
      <c r="I5" s="42"/>
      <c r="J5" s="42"/>
      <c r="K5" s="42"/>
      <c r="L5" s="42"/>
      <c r="M5" s="42"/>
      <c r="N5" s="7">
        <f>N6</f>
        <v>45998</v>
      </c>
      <c r="O5" s="8"/>
      <c r="P5" s="8"/>
      <c r="Q5" s="8"/>
      <c r="R5" s="8"/>
      <c r="S5" s="8"/>
      <c r="T5" s="9"/>
      <c r="U5" s="7">
        <f>U6</f>
        <v>46005</v>
      </c>
      <c r="V5" s="8"/>
      <c r="W5" s="8"/>
      <c r="X5" s="8"/>
      <c r="Y5" s="8"/>
      <c r="Z5" s="8"/>
      <c r="AA5" s="9"/>
      <c r="AB5" s="14">
        <f>AB6</f>
        <v>46012</v>
      </c>
      <c r="AC5" s="8"/>
      <c r="AD5" s="8"/>
      <c r="AE5" s="8"/>
      <c r="AF5" s="8"/>
      <c r="AG5" s="8"/>
      <c r="AH5" s="8"/>
      <c r="AI5" s="7">
        <f>AI6</f>
        <v>46019</v>
      </c>
      <c r="AJ5" s="8"/>
      <c r="AK5" s="8"/>
      <c r="AL5" s="8"/>
      <c r="AM5" s="8"/>
      <c r="AN5" s="8"/>
      <c r="AO5" s="9"/>
      <c r="AP5" s="14">
        <f>AP6</f>
        <v>46026</v>
      </c>
      <c r="AQ5" s="8"/>
      <c r="AR5" s="8"/>
      <c r="AS5" s="8"/>
      <c r="AT5" s="8"/>
      <c r="AU5" s="8"/>
      <c r="AV5" s="8"/>
      <c r="AW5" s="7">
        <f>AW6</f>
        <v>46033</v>
      </c>
      <c r="AX5" s="8"/>
      <c r="AY5" s="8"/>
      <c r="AZ5" s="8"/>
      <c r="BA5" s="8"/>
      <c r="BB5" s="8"/>
      <c r="BC5" s="9"/>
      <c r="BD5" s="14">
        <f>BD6</f>
        <v>46040</v>
      </c>
      <c r="BE5" s="8"/>
      <c r="BF5" s="8"/>
      <c r="BG5" s="8"/>
      <c r="BH5" s="8"/>
      <c r="BI5" s="8"/>
      <c r="BJ5" s="8"/>
      <c r="BK5" s="7">
        <f>BK6</f>
        <v>46047</v>
      </c>
      <c r="BL5" s="8"/>
      <c r="BM5" s="8"/>
      <c r="BN5" s="8"/>
      <c r="BO5" s="8"/>
      <c r="BP5" s="8"/>
      <c r="BQ5" s="9"/>
      <c r="BR5" s="14">
        <f>BR6</f>
        <v>46054</v>
      </c>
      <c r="BS5" s="8"/>
      <c r="BT5" s="8"/>
      <c r="BU5" s="8"/>
      <c r="BV5" s="8"/>
      <c r="BW5" s="8"/>
      <c r="BX5" s="8"/>
      <c r="BY5" s="7">
        <f>BY6</f>
        <v>46061</v>
      </c>
      <c r="BZ5" s="8"/>
      <c r="CA5" s="8"/>
      <c r="CB5" s="8"/>
      <c r="CC5" s="8"/>
      <c r="CD5" s="8"/>
      <c r="CE5" s="9"/>
    </row>
    <row r="6" spans="1:84" x14ac:dyDescent="0.35">
      <c r="A6" s="51" t="s">
        <v>56</v>
      </c>
      <c r="B6" s="50"/>
      <c r="C6" s="50"/>
      <c r="D6" s="29" t="s">
        <v>7</v>
      </c>
      <c r="E6" s="29"/>
      <c r="F6" s="29"/>
      <c r="G6" s="29"/>
      <c r="H6" s="30"/>
      <c r="I6" s="22" t="s">
        <v>8</v>
      </c>
      <c r="J6" s="22"/>
      <c r="K6" s="22"/>
      <c r="L6" s="22"/>
      <c r="M6" s="22"/>
      <c r="N6" s="17">
        <f>$M$1+7*M2-WEEKDAY($M$1,2)</f>
        <v>45998</v>
      </c>
      <c r="O6" s="2">
        <f>N6+1</f>
        <v>45999</v>
      </c>
      <c r="P6" s="2">
        <f t="shared" ref="P6:CA6" si="0">O6+1</f>
        <v>46000</v>
      </c>
      <c r="Q6" s="2">
        <f t="shared" si="0"/>
        <v>46001</v>
      </c>
      <c r="R6" s="2">
        <f t="shared" si="0"/>
        <v>46002</v>
      </c>
      <c r="S6" s="2">
        <f t="shared" si="0"/>
        <v>46003</v>
      </c>
      <c r="T6" s="16">
        <f t="shared" si="0"/>
        <v>46004</v>
      </c>
      <c r="U6" s="15">
        <f t="shared" si="0"/>
        <v>46005</v>
      </c>
      <c r="V6" s="2">
        <f t="shared" si="0"/>
        <v>46006</v>
      </c>
      <c r="W6" s="2">
        <f t="shared" si="0"/>
        <v>46007</v>
      </c>
      <c r="X6" s="2">
        <f t="shared" si="0"/>
        <v>46008</v>
      </c>
      <c r="Y6" s="2">
        <f t="shared" si="0"/>
        <v>46009</v>
      </c>
      <c r="Z6" s="2">
        <f t="shared" si="0"/>
        <v>46010</v>
      </c>
      <c r="AA6" s="16">
        <f t="shared" si="0"/>
        <v>46011</v>
      </c>
      <c r="AB6" s="2">
        <f t="shared" si="0"/>
        <v>46012</v>
      </c>
      <c r="AC6" s="2">
        <f t="shared" si="0"/>
        <v>46013</v>
      </c>
      <c r="AD6" s="2">
        <f t="shared" si="0"/>
        <v>46014</v>
      </c>
      <c r="AE6" s="2">
        <f t="shared" si="0"/>
        <v>46015</v>
      </c>
      <c r="AF6" s="2">
        <f t="shared" si="0"/>
        <v>46016</v>
      </c>
      <c r="AG6" s="2">
        <f t="shared" si="0"/>
        <v>46017</v>
      </c>
      <c r="AH6" s="2">
        <f t="shared" si="0"/>
        <v>46018</v>
      </c>
      <c r="AI6" s="15">
        <f t="shared" si="0"/>
        <v>46019</v>
      </c>
      <c r="AJ6" s="2">
        <f t="shared" si="0"/>
        <v>46020</v>
      </c>
      <c r="AK6" s="2">
        <f t="shared" si="0"/>
        <v>46021</v>
      </c>
      <c r="AL6" s="2">
        <f t="shared" si="0"/>
        <v>46022</v>
      </c>
      <c r="AM6" s="2">
        <f t="shared" si="0"/>
        <v>46023</v>
      </c>
      <c r="AN6" s="2">
        <f t="shared" si="0"/>
        <v>46024</v>
      </c>
      <c r="AO6" s="16">
        <f t="shared" si="0"/>
        <v>46025</v>
      </c>
      <c r="AP6" s="2">
        <f t="shared" si="0"/>
        <v>46026</v>
      </c>
      <c r="AQ6" s="2">
        <f t="shared" si="0"/>
        <v>46027</v>
      </c>
      <c r="AR6" s="2">
        <f t="shared" si="0"/>
        <v>46028</v>
      </c>
      <c r="AS6" s="2">
        <f t="shared" si="0"/>
        <v>46029</v>
      </c>
      <c r="AT6" s="2">
        <f t="shared" si="0"/>
        <v>46030</v>
      </c>
      <c r="AU6" s="2">
        <f t="shared" si="0"/>
        <v>46031</v>
      </c>
      <c r="AV6" s="2">
        <f t="shared" si="0"/>
        <v>46032</v>
      </c>
      <c r="AW6" s="15">
        <f t="shared" si="0"/>
        <v>46033</v>
      </c>
      <c r="AX6" s="2">
        <f t="shared" si="0"/>
        <v>46034</v>
      </c>
      <c r="AY6" s="2">
        <f t="shared" si="0"/>
        <v>46035</v>
      </c>
      <c r="AZ6" s="2">
        <f t="shared" si="0"/>
        <v>46036</v>
      </c>
      <c r="BA6" s="2">
        <f t="shared" si="0"/>
        <v>46037</v>
      </c>
      <c r="BB6" s="2">
        <f t="shared" si="0"/>
        <v>46038</v>
      </c>
      <c r="BC6" s="16">
        <f t="shared" si="0"/>
        <v>46039</v>
      </c>
      <c r="BD6" s="2">
        <f t="shared" si="0"/>
        <v>46040</v>
      </c>
      <c r="BE6" s="2">
        <f t="shared" si="0"/>
        <v>46041</v>
      </c>
      <c r="BF6" s="2">
        <f t="shared" si="0"/>
        <v>46042</v>
      </c>
      <c r="BG6" s="2">
        <f t="shared" si="0"/>
        <v>46043</v>
      </c>
      <c r="BH6" s="2">
        <f t="shared" si="0"/>
        <v>46044</v>
      </c>
      <c r="BI6" s="2">
        <f t="shared" si="0"/>
        <v>46045</v>
      </c>
      <c r="BJ6" s="2">
        <f t="shared" si="0"/>
        <v>46046</v>
      </c>
      <c r="BK6" s="15">
        <f t="shared" si="0"/>
        <v>46047</v>
      </c>
      <c r="BL6" s="2">
        <f t="shared" si="0"/>
        <v>46048</v>
      </c>
      <c r="BM6" s="2">
        <f t="shared" si="0"/>
        <v>46049</v>
      </c>
      <c r="BN6" s="2">
        <f t="shared" si="0"/>
        <v>46050</v>
      </c>
      <c r="BO6" s="2">
        <f t="shared" si="0"/>
        <v>46051</v>
      </c>
      <c r="BP6" s="2">
        <f t="shared" si="0"/>
        <v>46052</v>
      </c>
      <c r="BQ6" s="16">
        <f t="shared" si="0"/>
        <v>46053</v>
      </c>
      <c r="BR6" s="2">
        <f t="shared" si="0"/>
        <v>46054</v>
      </c>
      <c r="BS6" s="2">
        <f t="shared" si="0"/>
        <v>46055</v>
      </c>
      <c r="BT6" s="2">
        <f t="shared" si="0"/>
        <v>46056</v>
      </c>
      <c r="BU6" s="2">
        <f t="shared" si="0"/>
        <v>46057</v>
      </c>
      <c r="BV6" s="2">
        <f t="shared" si="0"/>
        <v>46058</v>
      </c>
      <c r="BW6" s="2">
        <f t="shared" si="0"/>
        <v>46059</v>
      </c>
      <c r="BX6" s="2">
        <f t="shared" si="0"/>
        <v>46060</v>
      </c>
      <c r="BY6" s="15">
        <f t="shared" si="0"/>
        <v>46061</v>
      </c>
      <c r="BZ6" s="2">
        <f t="shared" si="0"/>
        <v>46062</v>
      </c>
      <c r="CA6" s="2">
        <f t="shared" si="0"/>
        <v>46063</v>
      </c>
      <c r="CB6" s="2">
        <f t="shared" ref="CB6:CE6" si="1">CA6+1</f>
        <v>46064</v>
      </c>
      <c r="CC6" s="2">
        <f t="shared" si="1"/>
        <v>46065</v>
      </c>
      <c r="CD6" s="2">
        <f t="shared" si="1"/>
        <v>46066</v>
      </c>
      <c r="CE6" s="16">
        <f t="shared" si="1"/>
        <v>46067</v>
      </c>
    </row>
    <row r="7" spans="1:84" s="6" customFormat="1" ht="28" customHeight="1" x14ac:dyDescent="0.35">
      <c r="A7" s="39"/>
      <c r="B7" s="31" t="s">
        <v>11</v>
      </c>
      <c r="C7" s="31" t="s">
        <v>10</v>
      </c>
      <c r="D7" s="31" t="s">
        <v>0</v>
      </c>
      <c r="E7" s="31" t="s">
        <v>1</v>
      </c>
      <c r="F7" s="31" t="s">
        <v>6</v>
      </c>
      <c r="G7" s="31" t="s">
        <v>9</v>
      </c>
      <c r="H7" s="31" t="s">
        <v>2</v>
      </c>
      <c r="I7" s="20" t="s">
        <v>0</v>
      </c>
      <c r="J7" s="20" t="s">
        <v>1</v>
      </c>
      <c r="K7" s="20" t="s">
        <v>3</v>
      </c>
      <c r="L7" s="20" t="s">
        <v>9</v>
      </c>
      <c r="M7" s="20" t="s">
        <v>2</v>
      </c>
      <c r="N7" s="4" t="str">
        <f>LEFT(UPPER(TEXT(WEEKDAY(N6),"DDD")),1)</f>
        <v>D</v>
      </c>
      <c r="O7" s="4" t="str">
        <f>LEFT(UPPER(TEXT(WEEKDAY(O6),"DDD")),1)</f>
        <v>S</v>
      </c>
      <c r="P7" s="4" t="str">
        <f t="shared" ref="P7:CA7" si="2">LEFT(UPPER(TEXT(WEEKDAY(P6),"DDD")),1)</f>
        <v>T</v>
      </c>
      <c r="Q7" s="4" t="str">
        <f t="shared" si="2"/>
        <v>Q</v>
      </c>
      <c r="R7" s="4" t="str">
        <f t="shared" si="2"/>
        <v>Q</v>
      </c>
      <c r="S7" s="4" t="str">
        <f t="shared" si="2"/>
        <v>S</v>
      </c>
      <c r="T7" s="4" t="str">
        <f t="shared" si="2"/>
        <v>S</v>
      </c>
      <c r="U7" s="4" t="str">
        <f t="shared" si="2"/>
        <v>D</v>
      </c>
      <c r="V7" s="4" t="str">
        <f t="shared" si="2"/>
        <v>S</v>
      </c>
      <c r="W7" s="5" t="str">
        <f t="shared" si="2"/>
        <v>T</v>
      </c>
      <c r="X7" s="5" t="str">
        <f t="shared" si="2"/>
        <v>Q</v>
      </c>
      <c r="Y7" s="5" t="str">
        <f t="shared" si="2"/>
        <v>Q</v>
      </c>
      <c r="Z7" s="5" t="str">
        <f t="shared" si="2"/>
        <v>S</v>
      </c>
      <c r="AA7" s="5" t="str">
        <f t="shared" si="2"/>
        <v>S</v>
      </c>
      <c r="AB7" s="5" t="str">
        <f t="shared" si="2"/>
        <v>D</v>
      </c>
      <c r="AC7" s="5" t="str">
        <f t="shared" si="2"/>
        <v>S</v>
      </c>
      <c r="AD7" s="5" t="str">
        <f t="shared" si="2"/>
        <v>T</v>
      </c>
      <c r="AE7" s="5" t="str">
        <f t="shared" si="2"/>
        <v>Q</v>
      </c>
      <c r="AF7" s="5" t="str">
        <f t="shared" si="2"/>
        <v>Q</v>
      </c>
      <c r="AG7" s="5" t="str">
        <f t="shared" si="2"/>
        <v>S</v>
      </c>
      <c r="AH7" s="5" t="str">
        <f t="shared" si="2"/>
        <v>S</v>
      </c>
      <c r="AI7" s="5" t="str">
        <f t="shared" si="2"/>
        <v>D</v>
      </c>
      <c r="AJ7" s="5" t="str">
        <f t="shared" si="2"/>
        <v>S</v>
      </c>
      <c r="AK7" s="5" t="str">
        <f t="shared" si="2"/>
        <v>T</v>
      </c>
      <c r="AL7" s="5" t="str">
        <f t="shared" si="2"/>
        <v>Q</v>
      </c>
      <c r="AM7" s="5" t="str">
        <f t="shared" si="2"/>
        <v>Q</v>
      </c>
      <c r="AN7" s="5" t="str">
        <f t="shared" si="2"/>
        <v>S</v>
      </c>
      <c r="AO7" s="5" t="str">
        <f t="shared" si="2"/>
        <v>S</v>
      </c>
      <c r="AP7" s="5" t="str">
        <f t="shared" si="2"/>
        <v>D</v>
      </c>
      <c r="AQ7" s="5" t="str">
        <f t="shared" si="2"/>
        <v>S</v>
      </c>
      <c r="AR7" s="5" t="str">
        <f t="shared" si="2"/>
        <v>T</v>
      </c>
      <c r="AS7" s="5" t="str">
        <f t="shared" si="2"/>
        <v>Q</v>
      </c>
      <c r="AT7" s="5" t="str">
        <f t="shared" si="2"/>
        <v>Q</v>
      </c>
      <c r="AU7" s="5" t="str">
        <f t="shared" si="2"/>
        <v>S</v>
      </c>
      <c r="AV7" s="5" t="str">
        <f t="shared" si="2"/>
        <v>S</v>
      </c>
      <c r="AW7" s="5" t="str">
        <f t="shared" si="2"/>
        <v>D</v>
      </c>
      <c r="AX7" s="5" t="str">
        <f t="shared" si="2"/>
        <v>S</v>
      </c>
      <c r="AY7" s="5" t="str">
        <f t="shared" si="2"/>
        <v>T</v>
      </c>
      <c r="AZ7" s="5" t="str">
        <f t="shared" si="2"/>
        <v>Q</v>
      </c>
      <c r="BA7" s="5" t="str">
        <f t="shared" si="2"/>
        <v>Q</v>
      </c>
      <c r="BB7" s="5" t="str">
        <f t="shared" si="2"/>
        <v>S</v>
      </c>
      <c r="BC7" s="5" t="str">
        <f t="shared" si="2"/>
        <v>S</v>
      </c>
      <c r="BD7" s="5" t="str">
        <f t="shared" si="2"/>
        <v>D</v>
      </c>
      <c r="BE7" s="5" t="str">
        <f t="shared" si="2"/>
        <v>S</v>
      </c>
      <c r="BF7" s="5" t="str">
        <f t="shared" si="2"/>
        <v>T</v>
      </c>
      <c r="BG7" s="5" t="str">
        <f t="shared" si="2"/>
        <v>Q</v>
      </c>
      <c r="BH7" s="5" t="str">
        <f t="shared" si="2"/>
        <v>Q</v>
      </c>
      <c r="BI7" s="5" t="str">
        <f t="shared" si="2"/>
        <v>S</v>
      </c>
      <c r="BJ7" s="5" t="str">
        <f t="shared" si="2"/>
        <v>S</v>
      </c>
      <c r="BK7" s="5" t="str">
        <f t="shared" si="2"/>
        <v>D</v>
      </c>
      <c r="BL7" s="5" t="str">
        <f t="shared" si="2"/>
        <v>S</v>
      </c>
      <c r="BM7" s="5" t="str">
        <f t="shared" si="2"/>
        <v>T</v>
      </c>
      <c r="BN7" s="5" t="str">
        <f t="shared" si="2"/>
        <v>Q</v>
      </c>
      <c r="BO7" s="5" t="str">
        <f t="shared" si="2"/>
        <v>Q</v>
      </c>
      <c r="BP7" s="5" t="str">
        <f t="shared" si="2"/>
        <v>S</v>
      </c>
      <c r="BQ7" s="5" t="str">
        <f t="shared" si="2"/>
        <v>S</v>
      </c>
      <c r="BR7" s="5" t="str">
        <f t="shared" si="2"/>
        <v>D</v>
      </c>
      <c r="BS7" s="5" t="str">
        <f t="shared" si="2"/>
        <v>S</v>
      </c>
      <c r="BT7" s="5" t="str">
        <f t="shared" si="2"/>
        <v>T</v>
      </c>
      <c r="BU7" s="5" t="str">
        <f t="shared" si="2"/>
        <v>Q</v>
      </c>
      <c r="BV7" s="5" t="str">
        <f t="shared" si="2"/>
        <v>Q</v>
      </c>
      <c r="BW7" s="5" t="str">
        <f t="shared" si="2"/>
        <v>S</v>
      </c>
      <c r="BX7" s="5" t="str">
        <f t="shared" si="2"/>
        <v>S</v>
      </c>
      <c r="BY7" s="5" t="str">
        <f t="shared" si="2"/>
        <v>D</v>
      </c>
      <c r="BZ7" s="5" t="str">
        <f t="shared" si="2"/>
        <v>S</v>
      </c>
      <c r="CA7" s="5" t="str">
        <f t="shared" si="2"/>
        <v>T</v>
      </c>
      <c r="CB7" s="5" t="str">
        <f t="shared" ref="CB7:CE7" si="3">LEFT(UPPER(TEXT(WEEKDAY(CB6),"DDD")),1)</f>
        <v>Q</v>
      </c>
      <c r="CC7" s="5" t="str">
        <f t="shared" si="3"/>
        <v>Q</v>
      </c>
      <c r="CD7" s="5" t="str">
        <f t="shared" si="3"/>
        <v>S</v>
      </c>
      <c r="CE7" s="5" t="str">
        <f t="shared" si="3"/>
        <v>S</v>
      </c>
      <c r="CF7"/>
    </row>
    <row r="8" spans="1:84" x14ac:dyDescent="0.35">
      <c r="A8" s="40"/>
      <c r="B8" s="23"/>
      <c r="C8" s="24"/>
      <c r="D8" s="12"/>
      <c r="E8" s="12"/>
      <c r="F8" s="11"/>
      <c r="G8" s="11"/>
      <c r="H8" s="18"/>
      <c r="I8" s="12"/>
      <c r="J8" s="19"/>
      <c r="K8" s="11"/>
      <c r="L8" s="26"/>
      <c r="M8" s="21"/>
      <c r="N8" s="12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</row>
    <row r="9" spans="1:84" x14ac:dyDescent="0.35">
      <c r="B9" s="13" t="s">
        <v>45</v>
      </c>
      <c r="C9" s="27" t="s">
        <v>12</v>
      </c>
      <c r="D9" s="28">
        <f>M1</f>
        <v>45995</v>
      </c>
      <c r="E9" s="12">
        <f>D9+F9</f>
        <v>45996</v>
      </c>
      <c r="F9" s="25">
        <v>1</v>
      </c>
      <c r="G9" s="32"/>
      <c r="H9" s="18">
        <f ca="1">IF(D9="",0,IF(D9&gt;TODAY(),0,IF(E9&lt;TODAY(),1,(TODAY()-D9)/(E9-D9))))</f>
        <v>0</v>
      </c>
      <c r="I9" s="1"/>
      <c r="J9" s="12"/>
      <c r="K9" s="11"/>
      <c r="L9" s="32"/>
      <c r="M9" s="21">
        <v>1</v>
      </c>
      <c r="N9" s="12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</row>
    <row r="10" spans="1:84" ht="15.5" x14ac:dyDescent="0.35">
      <c r="B10" s="13" t="s">
        <v>47</v>
      </c>
      <c r="C10" s="13" t="s">
        <v>46</v>
      </c>
      <c r="D10" s="28">
        <f>E9</f>
        <v>45996</v>
      </c>
      <c r="E10" s="12">
        <f>D10+F10</f>
        <v>45998</v>
      </c>
      <c r="F10" s="25">
        <v>2</v>
      </c>
      <c r="G10" s="34" t="s">
        <v>35</v>
      </c>
      <c r="H10" s="18">
        <v>1</v>
      </c>
      <c r="I10" s="1">
        <v>45968</v>
      </c>
      <c r="J10" s="12">
        <f>I10+K10</f>
        <v>45969</v>
      </c>
      <c r="K10" s="25">
        <v>1</v>
      </c>
      <c r="L10" s="34" t="s">
        <v>35</v>
      </c>
      <c r="M10" s="21">
        <v>1</v>
      </c>
      <c r="N10" s="1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</row>
    <row r="11" spans="1:84" ht="15.5" x14ac:dyDescent="0.35">
      <c r="A11" s="40"/>
      <c r="B11" s="13"/>
      <c r="C11" s="13" t="s">
        <v>13</v>
      </c>
      <c r="D11" s="28">
        <f t="shared" ref="D11:D18" si="4">E10</f>
        <v>45998</v>
      </c>
      <c r="E11" s="12">
        <f t="shared" ref="E11:E20" si="5">D11+F11</f>
        <v>45999</v>
      </c>
      <c r="F11" s="25">
        <v>1</v>
      </c>
      <c r="G11" s="34" t="s">
        <v>35</v>
      </c>
      <c r="H11" s="18">
        <v>1</v>
      </c>
      <c r="I11" s="28">
        <v>45974</v>
      </c>
      <c r="J11" s="12">
        <v>45671</v>
      </c>
      <c r="K11" s="25">
        <v>2</v>
      </c>
      <c r="L11" s="35" t="s">
        <v>36</v>
      </c>
      <c r="M11" s="21">
        <v>1</v>
      </c>
      <c r="N11" s="1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</row>
    <row r="12" spans="1:84" x14ac:dyDescent="0.35">
      <c r="A12" s="40"/>
      <c r="B12" s="13"/>
      <c r="C12" s="13" t="s">
        <v>14</v>
      </c>
      <c r="D12" s="28">
        <f t="shared" si="4"/>
        <v>45999</v>
      </c>
      <c r="E12" s="12">
        <f t="shared" si="5"/>
        <v>46001</v>
      </c>
      <c r="F12" s="25">
        <v>2</v>
      </c>
      <c r="G12" s="33"/>
      <c r="H12" s="18"/>
      <c r="I12" s="12"/>
      <c r="J12" s="12"/>
      <c r="K12" s="25"/>
      <c r="L12" s="33"/>
      <c r="M12" s="21"/>
      <c r="N12" s="11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</row>
    <row r="13" spans="1:84" x14ac:dyDescent="0.35">
      <c r="A13" s="40"/>
      <c r="B13" s="13" t="s">
        <v>47</v>
      </c>
      <c r="C13" s="13" t="s">
        <v>48</v>
      </c>
      <c r="D13" s="28">
        <f t="shared" si="4"/>
        <v>46001</v>
      </c>
      <c r="E13" s="12">
        <f t="shared" si="5"/>
        <v>46003</v>
      </c>
      <c r="F13" s="25">
        <v>2</v>
      </c>
      <c r="G13" s="36" t="s">
        <v>37</v>
      </c>
      <c r="H13" s="18">
        <f t="shared" ref="H13" ca="1" si="6">IF(D13="",0,IF(D13&gt;TODAY(),0,IF(E13&lt;TODAY(),1,(TODAY()-D13)/(E13-D13))))</f>
        <v>0</v>
      </c>
      <c r="I13" s="28">
        <v>45979</v>
      </c>
      <c r="J13" s="12">
        <v>45981</v>
      </c>
      <c r="K13" s="25"/>
      <c r="L13" s="32"/>
      <c r="M13" s="21">
        <v>1</v>
      </c>
      <c r="N13" s="11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</row>
    <row r="14" spans="1:84" x14ac:dyDescent="0.35">
      <c r="A14" s="40"/>
      <c r="B14" s="13"/>
      <c r="C14" s="13" t="s">
        <v>15</v>
      </c>
      <c r="D14" s="28">
        <f t="shared" si="4"/>
        <v>46003</v>
      </c>
      <c r="E14" s="12">
        <f t="shared" si="5"/>
        <v>46005.2</v>
      </c>
      <c r="F14" s="25">
        <v>2.2000000000000002</v>
      </c>
      <c r="G14" s="32"/>
      <c r="H14" s="18">
        <f ca="1">IF(D14="",0,IF(D14&gt;TODAY(),0,IF(E14&lt;TODAY(),1,(TODAY()-D14)/(E14-D14))))</f>
        <v>0</v>
      </c>
      <c r="I14" s="12">
        <v>45979</v>
      </c>
      <c r="J14" s="12">
        <v>45981</v>
      </c>
      <c r="K14" s="25"/>
      <c r="L14" s="32"/>
      <c r="M14" s="21">
        <v>1</v>
      </c>
      <c r="N14" s="11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</row>
    <row r="15" spans="1:84" x14ac:dyDescent="0.35">
      <c r="A15" s="40"/>
      <c r="B15" s="13"/>
      <c r="C15" s="13" t="s">
        <v>16</v>
      </c>
      <c r="D15" s="28">
        <f t="shared" si="4"/>
        <v>46005.2</v>
      </c>
      <c r="E15" s="12">
        <f t="shared" si="5"/>
        <v>46007.6</v>
      </c>
      <c r="F15" s="25">
        <v>2.4</v>
      </c>
      <c r="G15" s="33"/>
      <c r="H15" s="18"/>
      <c r="I15" s="12">
        <v>45972</v>
      </c>
      <c r="J15" s="12">
        <v>45975</v>
      </c>
      <c r="K15" s="25"/>
      <c r="L15" s="33"/>
      <c r="M15" s="21">
        <v>0.9</v>
      </c>
      <c r="N15" s="11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</row>
    <row r="16" spans="1:84" x14ac:dyDescent="0.35">
      <c r="A16" s="40"/>
      <c r="B16" s="13"/>
      <c r="C16" s="13" t="s">
        <v>17</v>
      </c>
      <c r="D16" s="28">
        <f t="shared" si="4"/>
        <v>46007.6</v>
      </c>
      <c r="E16" s="12">
        <f t="shared" si="5"/>
        <v>46010.2</v>
      </c>
      <c r="F16" s="25">
        <v>2.6</v>
      </c>
      <c r="G16" s="32"/>
      <c r="H16" s="18">
        <f t="shared" ref="H16:H39" ca="1" si="7">IF(D16="",0,IF(D16&gt;TODAY(),0,IF(E16&lt;TODAY(),1,(TODAY()-D16)/(E16-D16))))</f>
        <v>0</v>
      </c>
      <c r="I16" s="12"/>
      <c r="J16" s="12"/>
      <c r="K16" s="25"/>
      <c r="L16" s="32"/>
      <c r="M16" s="21">
        <v>0</v>
      </c>
      <c r="N16" s="11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</row>
    <row r="17" spans="1:83" x14ac:dyDescent="0.35">
      <c r="A17" s="40"/>
      <c r="B17" s="13"/>
      <c r="C17" s="13" t="s">
        <v>18</v>
      </c>
      <c r="D17" s="28">
        <f t="shared" si="4"/>
        <v>46010.2</v>
      </c>
      <c r="E17" s="12">
        <f t="shared" si="5"/>
        <v>46013</v>
      </c>
      <c r="F17" s="25">
        <v>2.8</v>
      </c>
      <c r="G17" s="32"/>
      <c r="H17" s="18">
        <f t="shared" ca="1" si="7"/>
        <v>0</v>
      </c>
      <c r="I17" s="12"/>
      <c r="J17" s="12"/>
      <c r="K17" s="25"/>
      <c r="L17" s="32"/>
      <c r="M17" s="21">
        <v>0</v>
      </c>
      <c r="N17" s="11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</row>
    <row r="18" spans="1:83" x14ac:dyDescent="0.35">
      <c r="A18" s="40"/>
      <c r="B18" s="13"/>
      <c r="C18" s="13" t="s">
        <v>19</v>
      </c>
      <c r="D18" s="28">
        <f t="shared" si="4"/>
        <v>46013</v>
      </c>
      <c r="E18" s="12">
        <f t="shared" si="5"/>
        <v>46016</v>
      </c>
      <c r="F18" s="25">
        <v>3</v>
      </c>
      <c r="G18" s="33"/>
      <c r="H18" s="18"/>
      <c r="I18" s="12"/>
      <c r="J18" s="12"/>
      <c r="K18" s="25"/>
      <c r="L18" s="33"/>
      <c r="M18" s="21"/>
      <c r="N18" s="11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</row>
    <row r="19" spans="1:83" x14ac:dyDescent="0.35">
      <c r="A19" s="40"/>
      <c r="B19" s="13"/>
      <c r="C19" s="13" t="s">
        <v>20</v>
      </c>
      <c r="D19" s="28"/>
      <c r="E19" s="12"/>
      <c r="F19" s="25"/>
      <c r="G19" s="33"/>
      <c r="H19" s="18"/>
      <c r="I19" s="12"/>
      <c r="J19" s="12"/>
      <c r="K19" s="25"/>
      <c r="L19" s="33"/>
      <c r="M19" s="21"/>
      <c r="N19" s="11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</row>
    <row r="20" spans="1:83" x14ac:dyDescent="0.35">
      <c r="A20" s="40"/>
      <c r="B20" s="13" t="s">
        <v>45</v>
      </c>
      <c r="C20" s="27" t="s">
        <v>21</v>
      </c>
      <c r="D20" s="1">
        <f>E18</f>
        <v>46016</v>
      </c>
      <c r="E20" s="12">
        <f t="shared" si="5"/>
        <v>46017</v>
      </c>
      <c r="F20" s="25">
        <v>1</v>
      </c>
      <c r="G20" s="32"/>
      <c r="H20" s="18">
        <f t="shared" ca="1" si="7"/>
        <v>0</v>
      </c>
      <c r="I20" s="12"/>
      <c r="J20" s="12"/>
      <c r="K20" s="25"/>
      <c r="L20" s="32"/>
      <c r="M20" s="21">
        <v>0</v>
      </c>
      <c r="N20" s="11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</row>
    <row r="21" spans="1:83" x14ac:dyDescent="0.35">
      <c r="A21" s="40"/>
      <c r="B21" s="13" t="s">
        <v>47</v>
      </c>
      <c r="C21" s="13" t="s">
        <v>49</v>
      </c>
      <c r="D21" s="28">
        <f>E20</f>
        <v>46017</v>
      </c>
      <c r="E21" s="12">
        <f>D21+F21</f>
        <v>46019</v>
      </c>
      <c r="F21" s="25">
        <v>2</v>
      </c>
      <c r="G21" s="32"/>
      <c r="H21" s="18">
        <f t="shared" ca="1" si="7"/>
        <v>0</v>
      </c>
      <c r="I21" s="12"/>
      <c r="J21" s="12"/>
      <c r="K21" s="25"/>
      <c r="L21" s="32"/>
      <c r="M21" s="21">
        <v>0</v>
      </c>
      <c r="N21" s="11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</row>
    <row r="22" spans="1:83" x14ac:dyDescent="0.35">
      <c r="A22" s="40"/>
      <c r="B22" s="13"/>
      <c r="C22" s="13" t="s">
        <v>22</v>
      </c>
      <c r="D22" s="28">
        <f t="shared" ref="D22:D33" si="8">E21</f>
        <v>46019</v>
      </c>
      <c r="E22" s="12">
        <f t="shared" ref="E22:E39" si="9">D22+F22</f>
        <v>46020</v>
      </c>
      <c r="F22" s="25">
        <v>1</v>
      </c>
      <c r="G22" s="33"/>
      <c r="H22" s="18">
        <f t="shared" ca="1" si="7"/>
        <v>0</v>
      </c>
      <c r="I22" s="12"/>
      <c r="J22" s="12"/>
      <c r="K22" s="25"/>
      <c r="L22" s="33"/>
      <c r="M22" s="21"/>
      <c r="N22" s="11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</row>
    <row r="23" spans="1:83" x14ac:dyDescent="0.35">
      <c r="A23" s="40"/>
      <c r="B23" s="13"/>
      <c r="C23" s="13" t="s">
        <v>23</v>
      </c>
      <c r="D23" s="28">
        <f t="shared" si="8"/>
        <v>46020</v>
      </c>
      <c r="E23" s="12">
        <f t="shared" si="9"/>
        <v>46022</v>
      </c>
      <c r="F23" s="25">
        <v>2</v>
      </c>
      <c r="G23" s="32"/>
      <c r="H23" s="18">
        <f t="shared" ca="1" si="7"/>
        <v>0</v>
      </c>
      <c r="I23" s="12"/>
      <c r="J23" s="12"/>
      <c r="K23" s="25"/>
      <c r="L23" s="32"/>
      <c r="M23" s="21">
        <v>0</v>
      </c>
      <c r="N23" s="11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</row>
    <row r="24" spans="1:83" x14ac:dyDescent="0.35">
      <c r="A24" s="40"/>
      <c r="B24" s="13" t="s">
        <v>47</v>
      </c>
      <c r="C24" s="13" t="s">
        <v>24</v>
      </c>
      <c r="D24" s="28">
        <f t="shared" si="8"/>
        <v>46022</v>
      </c>
      <c r="E24" s="12">
        <f t="shared" si="9"/>
        <v>46023</v>
      </c>
      <c r="F24" s="25">
        <v>1</v>
      </c>
      <c r="G24" s="32"/>
      <c r="H24" s="18">
        <f t="shared" ca="1" si="7"/>
        <v>0</v>
      </c>
      <c r="I24" s="12"/>
      <c r="J24" s="12"/>
      <c r="K24" s="25"/>
      <c r="L24" s="32"/>
      <c r="M24" s="21">
        <v>0</v>
      </c>
      <c r="N24" s="11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</row>
    <row r="25" spans="1:83" x14ac:dyDescent="0.35">
      <c r="A25" s="40"/>
      <c r="B25" s="13"/>
      <c r="C25" s="13" t="s">
        <v>26</v>
      </c>
      <c r="D25" s="28">
        <f t="shared" si="8"/>
        <v>46023</v>
      </c>
      <c r="E25" s="12">
        <f t="shared" si="9"/>
        <v>46025</v>
      </c>
      <c r="F25" s="25">
        <v>2</v>
      </c>
      <c r="G25" s="32"/>
      <c r="H25" s="18">
        <f t="shared" ca="1" si="7"/>
        <v>0</v>
      </c>
      <c r="I25" s="12"/>
      <c r="J25" s="12"/>
      <c r="K25" s="25"/>
      <c r="L25" s="32"/>
      <c r="M25" s="21">
        <v>0</v>
      </c>
      <c r="N25" s="11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</row>
    <row r="26" spans="1:83" x14ac:dyDescent="0.35">
      <c r="A26" s="40"/>
      <c r="B26" s="13"/>
      <c r="C26" s="13" t="s">
        <v>27</v>
      </c>
      <c r="D26" s="28">
        <f t="shared" si="8"/>
        <v>46025</v>
      </c>
      <c r="E26" s="12">
        <f t="shared" si="9"/>
        <v>46026</v>
      </c>
      <c r="F26" s="25">
        <v>1</v>
      </c>
      <c r="G26" s="32"/>
      <c r="H26" s="18">
        <f t="shared" ca="1" si="7"/>
        <v>0</v>
      </c>
      <c r="I26" s="12"/>
      <c r="J26" s="12"/>
      <c r="K26" s="25"/>
      <c r="L26" s="32"/>
      <c r="M26" s="21">
        <v>0</v>
      </c>
      <c r="N26" s="11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</row>
    <row r="27" spans="1:83" x14ac:dyDescent="0.35">
      <c r="A27" s="40"/>
      <c r="B27" s="13"/>
      <c r="C27" s="13" t="s">
        <v>28</v>
      </c>
      <c r="D27" s="28">
        <f t="shared" si="8"/>
        <v>46026</v>
      </c>
      <c r="E27" s="12">
        <f t="shared" si="9"/>
        <v>46028</v>
      </c>
      <c r="F27" s="25">
        <v>2</v>
      </c>
      <c r="G27" s="32"/>
      <c r="H27" s="18">
        <f t="shared" ca="1" si="7"/>
        <v>0</v>
      </c>
      <c r="I27" s="12"/>
      <c r="J27" s="12"/>
      <c r="K27" s="25"/>
      <c r="L27" s="32"/>
      <c r="M27" s="21">
        <v>0</v>
      </c>
      <c r="N27" s="11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</row>
    <row r="28" spans="1:83" x14ac:dyDescent="0.35">
      <c r="A28" s="40"/>
      <c r="B28" s="13"/>
      <c r="C28" s="13" t="s">
        <v>27</v>
      </c>
      <c r="D28" s="28">
        <f t="shared" si="8"/>
        <v>46028</v>
      </c>
      <c r="E28" s="12">
        <f t="shared" si="9"/>
        <v>46029</v>
      </c>
      <c r="F28" s="25">
        <v>1</v>
      </c>
      <c r="G28" s="32"/>
      <c r="H28" s="18">
        <f t="shared" ca="1" si="7"/>
        <v>0</v>
      </c>
      <c r="I28" s="12"/>
      <c r="J28" s="12"/>
      <c r="K28" s="25"/>
      <c r="L28" s="32"/>
      <c r="M28" s="21">
        <v>0</v>
      </c>
      <c r="N28" s="11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</row>
    <row r="29" spans="1:83" x14ac:dyDescent="0.35">
      <c r="A29" s="40"/>
      <c r="B29" s="13"/>
      <c r="C29" s="13" t="s">
        <v>25</v>
      </c>
      <c r="D29" s="28">
        <f>E28</f>
        <v>46029</v>
      </c>
      <c r="E29" s="12">
        <f>D29+F29</f>
        <v>46031</v>
      </c>
      <c r="F29" s="25">
        <v>2</v>
      </c>
      <c r="G29" s="32"/>
      <c r="H29" s="18">
        <f t="shared" ca="1" si="7"/>
        <v>0</v>
      </c>
      <c r="I29" s="12"/>
      <c r="J29" s="12"/>
      <c r="K29" s="25"/>
      <c r="L29" s="32"/>
      <c r="M29" s="21">
        <v>0</v>
      </c>
      <c r="N29" s="11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</row>
    <row r="30" spans="1:83" x14ac:dyDescent="0.35">
      <c r="A30" s="40"/>
      <c r="B30" s="13"/>
      <c r="C30" s="13" t="s">
        <v>29</v>
      </c>
      <c r="D30" s="28">
        <f t="shared" si="8"/>
        <v>46031</v>
      </c>
      <c r="E30" s="12">
        <f t="shared" si="9"/>
        <v>46032</v>
      </c>
      <c r="F30" s="25">
        <v>1</v>
      </c>
      <c r="G30" s="32"/>
      <c r="H30" s="18">
        <f t="shared" ca="1" si="7"/>
        <v>0</v>
      </c>
      <c r="I30" s="12"/>
      <c r="J30" s="12"/>
      <c r="K30" s="25"/>
      <c r="L30" s="32"/>
      <c r="M30" s="21">
        <v>0</v>
      </c>
      <c r="N30" s="11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</row>
    <row r="31" spans="1:83" x14ac:dyDescent="0.35">
      <c r="A31" s="40"/>
      <c r="B31" s="13"/>
      <c r="C31" s="13" t="s">
        <v>26</v>
      </c>
      <c r="D31" s="28">
        <f t="shared" si="8"/>
        <v>46032</v>
      </c>
      <c r="E31" s="12">
        <f t="shared" si="9"/>
        <v>46034</v>
      </c>
      <c r="F31" s="25">
        <v>2</v>
      </c>
      <c r="G31" s="32"/>
      <c r="H31" s="18">
        <f t="shared" ca="1" si="7"/>
        <v>0</v>
      </c>
      <c r="I31" s="12"/>
      <c r="J31" s="12"/>
      <c r="K31" s="25"/>
      <c r="L31" s="32"/>
      <c r="M31" s="21">
        <v>0</v>
      </c>
      <c r="N31" s="11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</row>
    <row r="32" spans="1:83" x14ac:dyDescent="0.35">
      <c r="A32" s="40"/>
      <c r="B32" s="13"/>
      <c r="C32" s="13" t="s">
        <v>27</v>
      </c>
      <c r="D32" s="28">
        <f t="shared" si="8"/>
        <v>46034</v>
      </c>
      <c r="E32" s="12">
        <f t="shared" si="9"/>
        <v>46047</v>
      </c>
      <c r="F32" s="25">
        <v>13</v>
      </c>
      <c r="G32" s="32"/>
      <c r="H32" s="18">
        <f t="shared" ca="1" si="7"/>
        <v>0</v>
      </c>
      <c r="I32" s="12"/>
      <c r="J32" s="12"/>
      <c r="K32" s="25"/>
      <c r="L32" s="32"/>
      <c r="M32" s="21">
        <v>0</v>
      </c>
      <c r="N32" s="11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</row>
    <row r="33" spans="1:83" x14ac:dyDescent="0.35">
      <c r="A33" s="40"/>
      <c r="B33" s="13"/>
      <c r="C33" s="13" t="s">
        <v>28</v>
      </c>
      <c r="D33" s="28">
        <f t="shared" si="8"/>
        <v>46047</v>
      </c>
      <c r="E33" s="12">
        <f t="shared" si="9"/>
        <v>46049</v>
      </c>
      <c r="F33" s="25">
        <v>2</v>
      </c>
      <c r="G33" s="32"/>
      <c r="H33" s="18">
        <f t="shared" ca="1" si="7"/>
        <v>0</v>
      </c>
      <c r="I33" s="12"/>
      <c r="J33" s="12"/>
      <c r="K33" s="25"/>
      <c r="L33" s="32"/>
      <c r="M33" s="21">
        <v>0</v>
      </c>
      <c r="N33" s="11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</row>
    <row r="34" spans="1:83" x14ac:dyDescent="0.35">
      <c r="A34" s="40"/>
      <c r="B34" s="13"/>
      <c r="C34" s="13" t="s">
        <v>30</v>
      </c>
      <c r="D34" s="1">
        <v>45981</v>
      </c>
      <c r="E34" s="12">
        <f t="shared" si="9"/>
        <v>45984</v>
      </c>
      <c r="F34" s="25">
        <v>3</v>
      </c>
      <c r="G34" s="32"/>
      <c r="H34" s="18">
        <f t="shared" ca="1" si="7"/>
        <v>1</v>
      </c>
      <c r="I34" s="12"/>
      <c r="J34" s="12"/>
      <c r="K34" s="25"/>
      <c r="L34" s="32"/>
      <c r="M34" s="21">
        <v>0</v>
      </c>
      <c r="N34" s="11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</row>
    <row r="35" spans="1:83" x14ac:dyDescent="0.35">
      <c r="A35" s="40"/>
      <c r="B35" s="13"/>
      <c r="C35" s="13" t="s">
        <v>26</v>
      </c>
      <c r="D35" s="12"/>
      <c r="E35" s="12"/>
      <c r="F35" s="25"/>
      <c r="G35" s="32"/>
      <c r="H35" s="18">
        <f t="shared" ca="1" si="7"/>
        <v>0</v>
      </c>
      <c r="I35" s="12"/>
      <c r="J35" s="12"/>
      <c r="K35" s="25"/>
      <c r="L35" s="32"/>
      <c r="M35" s="21">
        <v>0</v>
      </c>
      <c r="N35" s="11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</row>
    <row r="36" spans="1:83" x14ac:dyDescent="0.35">
      <c r="A36" s="40"/>
      <c r="B36" s="13"/>
      <c r="C36" s="13" t="s">
        <v>27</v>
      </c>
      <c r="D36" s="1">
        <v>45980</v>
      </c>
      <c r="E36" s="12">
        <f t="shared" si="9"/>
        <v>45981</v>
      </c>
      <c r="F36" s="25">
        <v>1</v>
      </c>
      <c r="G36" s="32"/>
      <c r="H36" s="18">
        <f t="shared" ca="1" si="7"/>
        <v>1</v>
      </c>
      <c r="I36" s="12"/>
      <c r="J36" s="12"/>
      <c r="K36" s="25"/>
      <c r="L36" s="32"/>
      <c r="M36" s="21">
        <v>0</v>
      </c>
      <c r="N36" s="11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</row>
    <row r="37" spans="1:83" x14ac:dyDescent="0.35">
      <c r="A37" s="40"/>
      <c r="B37" s="13"/>
      <c r="C37" s="13" t="s">
        <v>28</v>
      </c>
      <c r="D37" s="28">
        <f t="shared" ref="D37" si="10">E36</f>
        <v>45981</v>
      </c>
      <c r="E37" s="12">
        <f t="shared" si="9"/>
        <v>45983</v>
      </c>
      <c r="F37" s="25">
        <v>2</v>
      </c>
      <c r="G37" s="32"/>
      <c r="H37" s="18">
        <f t="shared" ca="1" si="7"/>
        <v>1</v>
      </c>
      <c r="I37" s="12"/>
      <c r="J37" s="12"/>
      <c r="K37" s="25"/>
      <c r="L37" s="32"/>
      <c r="M37" s="21">
        <v>0</v>
      </c>
      <c r="N37" s="11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</row>
    <row r="38" spans="1:83" x14ac:dyDescent="0.35">
      <c r="A38" s="40"/>
      <c r="B38" s="13" t="s">
        <v>47</v>
      </c>
      <c r="C38" s="13" t="s">
        <v>50</v>
      </c>
      <c r="D38" s="1">
        <v>45981</v>
      </c>
      <c r="E38" s="12">
        <f t="shared" si="9"/>
        <v>45984</v>
      </c>
      <c r="F38" s="25">
        <v>3</v>
      </c>
      <c r="G38" s="32"/>
      <c r="H38" s="18">
        <f t="shared" ca="1" si="7"/>
        <v>1</v>
      </c>
      <c r="I38" s="12"/>
      <c r="J38" s="12"/>
      <c r="K38" s="25"/>
      <c r="L38" s="32"/>
      <c r="M38" s="21">
        <v>0</v>
      </c>
      <c r="N38" s="11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</row>
    <row r="39" spans="1:83" x14ac:dyDescent="0.35">
      <c r="A39" s="40"/>
      <c r="B39" s="13"/>
      <c r="C39" s="13" t="s">
        <v>31</v>
      </c>
      <c r="D39" s="1">
        <v>45982</v>
      </c>
      <c r="E39" s="12">
        <f t="shared" si="9"/>
        <v>45986</v>
      </c>
      <c r="F39" s="25">
        <v>4</v>
      </c>
      <c r="G39" s="32"/>
      <c r="H39" s="18">
        <f t="shared" ca="1" si="7"/>
        <v>1</v>
      </c>
      <c r="I39" s="12"/>
      <c r="J39" s="12"/>
      <c r="K39" s="25"/>
      <c r="L39" s="32"/>
      <c r="M39" s="21">
        <v>1</v>
      </c>
      <c r="N39" s="11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</row>
    <row r="40" spans="1:83" x14ac:dyDescent="0.35">
      <c r="A40" s="40"/>
      <c r="B40" s="13"/>
      <c r="C40" s="13" t="s">
        <v>32</v>
      </c>
      <c r="D40" s="12"/>
      <c r="E40" s="12"/>
      <c r="F40" s="25"/>
      <c r="G40" s="25"/>
      <c r="H40" s="18"/>
      <c r="I40" s="12"/>
      <c r="J40" s="12"/>
      <c r="K40" s="25"/>
      <c r="L40" s="26"/>
      <c r="M40" s="21"/>
      <c r="N40" s="11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</row>
    <row r="41" spans="1:83" x14ac:dyDescent="0.35">
      <c r="A41" s="40"/>
      <c r="B41" s="13"/>
      <c r="C41" s="13" t="s">
        <v>33</v>
      </c>
      <c r="D41" s="12"/>
      <c r="E41" s="12"/>
      <c r="F41" s="25"/>
      <c r="G41" s="26"/>
      <c r="H41" s="18"/>
      <c r="I41" s="12"/>
      <c r="J41" s="12"/>
      <c r="K41" s="25"/>
      <c r="L41" s="26"/>
      <c r="M41" s="21"/>
      <c r="N41" s="11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</row>
    <row r="42" spans="1:83" x14ac:dyDescent="0.35">
      <c r="A42" s="40"/>
      <c r="B42" s="13" t="s">
        <v>47</v>
      </c>
      <c r="C42" s="13" t="s">
        <v>34</v>
      </c>
      <c r="D42" s="12"/>
      <c r="E42" s="12"/>
      <c r="F42" s="25"/>
      <c r="G42" s="25"/>
      <c r="H42" s="18"/>
      <c r="I42" s="12"/>
      <c r="J42" s="12"/>
      <c r="K42" s="25"/>
      <c r="L42" s="26"/>
      <c r="M42" s="21"/>
      <c r="N42" s="11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</row>
    <row r="43" spans="1:83" x14ac:dyDescent="0.35">
      <c r="A43" s="40"/>
      <c r="B43" s="13"/>
      <c r="C43" s="13"/>
      <c r="D43" s="12"/>
      <c r="E43" s="12"/>
      <c r="F43" s="25"/>
      <c r="G43" s="25"/>
      <c r="H43" s="18"/>
      <c r="I43" s="12"/>
      <c r="J43" s="12"/>
      <c r="K43" s="25"/>
      <c r="L43" s="26"/>
      <c r="M43" s="21"/>
      <c r="N43" s="11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</row>
    <row r="44" spans="1:83" x14ac:dyDescent="0.35">
      <c r="A44" s="40"/>
      <c r="B44" s="13"/>
      <c r="C44" s="13"/>
      <c r="D44" s="12"/>
      <c r="E44" s="12"/>
      <c r="F44" s="25"/>
      <c r="G44" s="26"/>
      <c r="H44" s="18"/>
      <c r="I44" s="12"/>
      <c r="J44" s="12"/>
      <c r="K44" s="25"/>
      <c r="L44" s="26"/>
      <c r="M44" s="21"/>
      <c r="N44" s="11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</row>
    <row r="45" spans="1:83" x14ac:dyDescent="0.35">
      <c r="A45" s="40"/>
      <c r="B45" s="13" t="str">
        <f t="shared" ref="B45" si="11">IF(C45="","",IF(C45&gt;=$H$6,"Ongoing","Legado"))</f>
        <v/>
      </c>
      <c r="C45" s="24"/>
      <c r="D45" s="12"/>
      <c r="E45" s="12"/>
      <c r="F45" s="11"/>
      <c r="G45" s="11"/>
      <c r="H45" s="18"/>
      <c r="I45" s="11"/>
      <c r="J45" s="11"/>
      <c r="K45" s="11"/>
      <c r="L45" s="26"/>
      <c r="M45" s="21"/>
      <c r="N45" s="11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</row>
    <row r="47" spans="1:83" x14ac:dyDescent="0.35">
      <c r="D47" s="1"/>
    </row>
  </sheetData>
  <mergeCells count="2">
    <mergeCell ref="C2:D2"/>
    <mergeCell ref="C3:D5"/>
  </mergeCells>
  <conditionalFormatting sqref="H36:H39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{C24F20F2-7EDC-4D75-9D97-C979C23DAEE0}</x14:id>
        </ext>
      </extLst>
    </cfRule>
  </conditionalFormatting>
  <conditionalFormatting sqref="H40:H45 H8:H35">
    <cfRule type="dataBar" priority="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{B66FA085-E876-4361-B96B-D2D44665F4E9}</x14:id>
        </ext>
      </extLst>
    </cfRule>
  </conditionalFormatting>
  <conditionalFormatting sqref="M36:M39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{1F918AC5-88AF-4E04-9986-AF3779A94FBB}</x14:id>
        </ext>
      </extLst>
    </cfRule>
  </conditionalFormatting>
  <conditionalFormatting sqref="M40:M45 M8:M35">
    <cfRule type="dataBar" priority="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{1E4F223F-737F-4BAC-B861-EDCF9DB14343}</x14:id>
        </ext>
      </extLst>
    </cfRule>
  </conditionalFormatting>
  <conditionalFormatting sqref="N6:CE45">
    <cfRule type="expression" dxfId="9" priority="4">
      <formula>N$6=TODAY()</formula>
    </cfRule>
  </conditionalFormatting>
  <conditionalFormatting sqref="N7:CE45">
    <cfRule type="expression" dxfId="7" priority="5">
      <formula>OR(WEEKDAY(N$6)=1,WEEKDAY(N$6)=7)</formula>
    </cfRule>
  </conditionalFormatting>
  <conditionalFormatting sqref="N8:CE45">
    <cfRule type="expression" dxfId="6" priority="6">
      <formula>AND($I8&lt;&gt;"",$J8&lt;&gt;"",N$6&lt;=data_progresso,N$6&gt;=$I8,N$6&lt;=$J8)</formula>
    </cfRule>
    <cfRule type="expression" dxfId="5" priority="7">
      <formula>AND(N$6&gt;=$D8,N$6&lt;=$E8,$D8&lt;&gt;"",$E8&lt;&gt;"")</formula>
    </cfRule>
  </conditionalFormatting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3" name="Scroll Bar 1">
              <controlPr defaultSize="0" autoPict="0">
                <anchor moveWithCells="1">
                  <from>
                    <xdr:col>13</xdr:col>
                    <xdr:colOff>12700</xdr:colOff>
                    <xdr:row>1</xdr:row>
                    <xdr:rowOff>50800</xdr:rowOff>
                  </from>
                  <to>
                    <xdr:col>18</xdr:col>
                    <xdr:colOff>165100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4F20F2-7EDC-4D75-9D97-C979C23DAEE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H36:H39</xm:sqref>
        </x14:conditionalFormatting>
        <x14:conditionalFormatting xmlns:xm="http://schemas.microsoft.com/office/excel/2006/main">
          <x14:cfRule type="dataBar" id="{B66FA085-E876-4361-B96B-D2D44665F4E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H40:H45 H8:H35</xm:sqref>
        </x14:conditionalFormatting>
        <x14:conditionalFormatting xmlns:xm="http://schemas.microsoft.com/office/excel/2006/main">
          <x14:cfRule type="dataBar" id="{1F918AC5-88AF-4E04-9986-AF3779A94FB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M36:M39</xm:sqref>
        </x14:conditionalFormatting>
        <x14:conditionalFormatting xmlns:xm="http://schemas.microsoft.com/office/excel/2006/main">
          <x14:cfRule type="dataBar" id="{1E4F223F-737F-4BAC-B861-EDCF9DB1434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M40:M45 M8:M35</xm:sqref>
        </x14:conditionalFormatting>
        <x14:conditionalFormatting xmlns:xm="http://schemas.microsoft.com/office/excel/2006/main">
          <x14:cfRule type="expression" priority="3" id="{DB3DC6F4-1FE8-486A-B864-4ABCC6BD57B6}">
            <xm:f>MATCH(N$6,#REF!,0)</xm:f>
            <x14:dxf>
              <fill>
                <patternFill patternType="lightUp">
                  <fgColor rgb="FFFF0000"/>
                </patternFill>
              </fill>
            </x14:dxf>
          </x14:cfRule>
          <xm:sqref>N7:CE45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D858-2A99-404F-9A9A-85399BE5BBCA}">
  <dimension ref="A1:CF47"/>
  <sheetViews>
    <sheetView zoomScale="50" zoomScaleNormal="50" workbookViewId="0">
      <selection activeCell="I2" sqref="I2:I4"/>
    </sheetView>
  </sheetViews>
  <sheetFormatPr defaultRowHeight="14.5" outlineLevelCol="1" x14ac:dyDescent="0.35"/>
  <cols>
    <col min="1" max="1" width="7.7265625" style="38" bestFit="1" customWidth="1"/>
    <col min="2" max="2" width="15.26953125" customWidth="1"/>
    <col min="3" max="3" width="33.90625" style="3" customWidth="1"/>
    <col min="4" max="4" width="16.81640625" customWidth="1" outlineLevel="1"/>
    <col min="5" max="5" width="15.08984375" customWidth="1" outlineLevel="1"/>
    <col min="6" max="6" width="6.453125" customWidth="1" outlineLevel="1"/>
    <col min="7" max="7" width="17.81640625" bestFit="1" customWidth="1" outlineLevel="1"/>
    <col min="8" max="8" width="11.08984375" customWidth="1" outlineLevel="1"/>
    <col min="9" max="10" width="11" bestFit="1" customWidth="1"/>
    <col min="11" max="11" width="9.453125" bestFit="1" customWidth="1"/>
    <col min="12" max="12" width="16.7265625" bestFit="1" customWidth="1"/>
    <col min="13" max="13" width="11.08984375" bestFit="1" customWidth="1"/>
    <col min="14" max="14" width="3" style="3" bestFit="1" customWidth="1"/>
    <col min="15" max="15" width="3" bestFit="1" customWidth="1"/>
    <col min="16" max="16" width="6.90625" bestFit="1" customWidth="1"/>
    <col min="17" max="56" width="3" bestFit="1" customWidth="1"/>
    <col min="57" max="83" width="3.08984375" bestFit="1" customWidth="1"/>
  </cols>
  <sheetData>
    <row r="1" spans="1:84" s="42" customFormat="1" ht="13.5" customHeight="1" x14ac:dyDescent="0.35">
      <c r="A1" s="37"/>
      <c r="B1" s="41"/>
      <c r="C1" s="50"/>
      <c r="D1" s="41"/>
      <c r="E1" s="44" t="s">
        <v>38</v>
      </c>
      <c r="F1" s="45"/>
      <c r="G1" s="44" t="s">
        <v>41</v>
      </c>
      <c r="I1" s="42" t="s">
        <v>60</v>
      </c>
      <c r="J1" s="42" t="s">
        <v>64</v>
      </c>
      <c r="L1" s="49" t="s">
        <v>4</v>
      </c>
      <c r="M1" s="48">
        <v>45995</v>
      </c>
      <c r="N1" s="43"/>
    </row>
    <row r="2" spans="1:84" s="42" customFormat="1" ht="21" x14ac:dyDescent="0.5">
      <c r="A2" s="37"/>
      <c r="B2" s="41"/>
      <c r="C2" s="54" t="s">
        <v>53</v>
      </c>
      <c r="D2" s="54"/>
      <c r="E2" s="44" t="s">
        <v>39</v>
      </c>
      <c r="F2" s="45"/>
      <c r="G2" s="44" t="s">
        <v>42</v>
      </c>
      <c r="I2" s="42" t="s">
        <v>65</v>
      </c>
      <c r="J2" s="42" t="s">
        <v>57</v>
      </c>
      <c r="L2" s="49" t="s">
        <v>5</v>
      </c>
      <c r="M2" s="49">
        <v>1</v>
      </c>
      <c r="N2" s="43"/>
    </row>
    <row r="3" spans="1:84" s="42" customFormat="1" ht="18" x14ac:dyDescent="0.35">
      <c r="A3" s="51" t="s">
        <v>55</v>
      </c>
      <c r="B3" s="41"/>
      <c r="C3" s="53" t="s">
        <v>54</v>
      </c>
      <c r="D3" s="53"/>
      <c r="E3" s="44" t="s">
        <v>40</v>
      </c>
      <c r="F3" s="45"/>
      <c r="G3" s="44" t="s">
        <v>43</v>
      </c>
      <c r="I3" s="42" t="s">
        <v>66</v>
      </c>
      <c r="J3" s="42" t="s">
        <v>58</v>
      </c>
      <c r="M3" s="49"/>
      <c r="N3" s="43"/>
    </row>
    <row r="4" spans="1:84" s="42" customFormat="1" x14ac:dyDescent="0.35">
      <c r="A4" s="51" t="s">
        <v>51</v>
      </c>
      <c r="B4" s="52" t="s">
        <v>52</v>
      </c>
      <c r="C4" s="53"/>
      <c r="D4" s="53"/>
      <c r="E4" s="44"/>
      <c r="F4" s="45"/>
      <c r="G4" s="44"/>
      <c r="I4" s="42" t="s">
        <v>67</v>
      </c>
      <c r="J4" s="42" t="s">
        <v>59</v>
      </c>
      <c r="M4" s="49"/>
      <c r="N4" s="43"/>
    </row>
    <row r="5" spans="1:84" ht="21.5" customHeight="1" x14ac:dyDescent="0.35">
      <c r="A5" s="51" t="s">
        <v>44</v>
      </c>
      <c r="B5" s="50"/>
      <c r="C5" s="53"/>
      <c r="D5" s="53"/>
      <c r="E5" s="46"/>
      <c r="F5" s="42"/>
      <c r="G5" s="47"/>
      <c r="H5" s="42"/>
      <c r="I5" s="42"/>
      <c r="J5" s="42"/>
      <c r="K5" s="42"/>
      <c r="L5" s="42"/>
      <c r="M5" s="42"/>
      <c r="N5" s="7">
        <f>N6</f>
        <v>45998</v>
      </c>
      <c r="O5" s="8"/>
      <c r="P5" s="8"/>
      <c r="Q5" s="8"/>
      <c r="R5" s="8"/>
      <c r="S5" s="8"/>
      <c r="T5" s="9"/>
      <c r="U5" s="7">
        <f>U6</f>
        <v>46005</v>
      </c>
      <c r="V5" s="8"/>
      <c r="W5" s="8"/>
      <c r="X5" s="8"/>
      <c r="Y5" s="8"/>
      <c r="Z5" s="8"/>
      <c r="AA5" s="9"/>
      <c r="AB5" s="14">
        <f>AB6</f>
        <v>46012</v>
      </c>
      <c r="AC5" s="8"/>
      <c r="AD5" s="8"/>
      <c r="AE5" s="8"/>
      <c r="AF5" s="8"/>
      <c r="AG5" s="8"/>
      <c r="AH5" s="8"/>
      <c r="AI5" s="7">
        <f>AI6</f>
        <v>46019</v>
      </c>
      <c r="AJ5" s="8"/>
      <c r="AK5" s="8"/>
      <c r="AL5" s="8"/>
      <c r="AM5" s="8"/>
      <c r="AN5" s="8"/>
      <c r="AO5" s="9"/>
      <c r="AP5" s="14">
        <f>AP6</f>
        <v>46026</v>
      </c>
      <c r="AQ5" s="8"/>
      <c r="AR5" s="8"/>
      <c r="AS5" s="8"/>
      <c r="AT5" s="8"/>
      <c r="AU5" s="8"/>
      <c r="AV5" s="8"/>
      <c r="AW5" s="7">
        <f>AW6</f>
        <v>46033</v>
      </c>
      <c r="AX5" s="8"/>
      <c r="AY5" s="8"/>
      <c r="AZ5" s="8"/>
      <c r="BA5" s="8"/>
      <c r="BB5" s="8"/>
      <c r="BC5" s="9"/>
      <c r="BD5" s="14">
        <f>BD6</f>
        <v>46040</v>
      </c>
      <c r="BE5" s="8"/>
      <c r="BF5" s="8"/>
      <c r="BG5" s="8"/>
      <c r="BH5" s="8"/>
      <c r="BI5" s="8"/>
      <c r="BJ5" s="8"/>
      <c r="BK5" s="7">
        <f>BK6</f>
        <v>46047</v>
      </c>
      <c r="BL5" s="8"/>
      <c r="BM5" s="8"/>
      <c r="BN5" s="8"/>
      <c r="BO5" s="8"/>
      <c r="BP5" s="8"/>
      <c r="BQ5" s="9"/>
      <c r="BR5" s="14">
        <f>BR6</f>
        <v>46054</v>
      </c>
      <c r="BS5" s="8"/>
      <c r="BT5" s="8"/>
      <c r="BU5" s="8"/>
      <c r="BV5" s="8"/>
      <c r="BW5" s="8"/>
      <c r="BX5" s="8"/>
      <c r="BY5" s="7">
        <f>BY6</f>
        <v>46061</v>
      </c>
      <c r="BZ5" s="8"/>
      <c r="CA5" s="8"/>
      <c r="CB5" s="8"/>
      <c r="CC5" s="8"/>
      <c r="CD5" s="8"/>
      <c r="CE5" s="9"/>
    </row>
    <row r="6" spans="1:84" x14ac:dyDescent="0.35">
      <c r="A6" s="51" t="s">
        <v>56</v>
      </c>
      <c r="B6" s="50"/>
      <c r="C6" s="50"/>
      <c r="D6" s="29" t="s">
        <v>7</v>
      </c>
      <c r="E6" s="29"/>
      <c r="F6" s="29"/>
      <c r="G6" s="29"/>
      <c r="H6" s="30"/>
      <c r="I6" s="22" t="s">
        <v>8</v>
      </c>
      <c r="J6" s="22"/>
      <c r="K6" s="22"/>
      <c r="L6" s="22"/>
      <c r="M6" s="22"/>
      <c r="N6" s="17">
        <f>$M$1+7*M2-WEEKDAY($M$1,2)</f>
        <v>45998</v>
      </c>
      <c r="O6" s="2">
        <f>N6+1</f>
        <v>45999</v>
      </c>
      <c r="P6" s="2">
        <f t="shared" ref="P6:CA6" si="0">O6+1</f>
        <v>46000</v>
      </c>
      <c r="Q6" s="2">
        <f t="shared" si="0"/>
        <v>46001</v>
      </c>
      <c r="R6" s="2">
        <f t="shared" si="0"/>
        <v>46002</v>
      </c>
      <c r="S6" s="2">
        <f t="shared" si="0"/>
        <v>46003</v>
      </c>
      <c r="T6" s="16">
        <f t="shared" si="0"/>
        <v>46004</v>
      </c>
      <c r="U6" s="15">
        <f t="shared" si="0"/>
        <v>46005</v>
      </c>
      <c r="V6" s="2">
        <f t="shared" si="0"/>
        <v>46006</v>
      </c>
      <c r="W6" s="2">
        <f t="shared" si="0"/>
        <v>46007</v>
      </c>
      <c r="X6" s="2">
        <f t="shared" si="0"/>
        <v>46008</v>
      </c>
      <c r="Y6" s="2">
        <f t="shared" si="0"/>
        <v>46009</v>
      </c>
      <c r="Z6" s="2">
        <f t="shared" si="0"/>
        <v>46010</v>
      </c>
      <c r="AA6" s="16">
        <f t="shared" si="0"/>
        <v>46011</v>
      </c>
      <c r="AB6" s="2">
        <f t="shared" si="0"/>
        <v>46012</v>
      </c>
      <c r="AC6" s="2">
        <f t="shared" si="0"/>
        <v>46013</v>
      </c>
      <c r="AD6" s="2">
        <f t="shared" si="0"/>
        <v>46014</v>
      </c>
      <c r="AE6" s="2">
        <f t="shared" si="0"/>
        <v>46015</v>
      </c>
      <c r="AF6" s="2">
        <f t="shared" si="0"/>
        <v>46016</v>
      </c>
      <c r="AG6" s="2">
        <f t="shared" si="0"/>
        <v>46017</v>
      </c>
      <c r="AH6" s="2">
        <f t="shared" si="0"/>
        <v>46018</v>
      </c>
      <c r="AI6" s="15">
        <f t="shared" si="0"/>
        <v>46019</v>
      </c>
      <c r="AJ6" s="2">
        <f t="shared" si="0"/>
        <v>46020</v>
      </c>
      <c r="AK6" s="2">
        <f t="shared" si="0"/>
        <v>46021</v>
      </c>
      <c r="AL6" s="2">
        <f t="shared" si="0"/>
        <v>46022</v>
      </c>
      <c r="AM6" s="2">
        <f t="shared" si="0"/>
        <v>46023</v>
      </c>
      <c r="AN6" s="2">
        <f t="shared" si="0"/>
        <v>46024</v>
      </c>
      <c r="AO6" s="16">
        <f t="shared" si="0"/>
        <v>46025</v>
      </c>
      <c r="AP6" s="2">
        <f t="shared" si="0"/>
        <v>46026</v>
      </c>
      <c r="AQ6" s="2">
        <f t="shared" si="0"/>
        <v>46027</v>
      </c>
      <c r="AR6" s="2">
        <f t="shared" si="0"/>
        <v>46028</v>
      </c>
      <c r="AS6" s="2">
        <f t="shared" si="0"/>
        <v>46029</v>
      </c>
      <c r="AT6" s="2">
        <f t="shared" si="0"/>
        <v>46030</v>
      </c>
      <c r="AU6" s="2">
        <f t="shared" si="0"/>
        <v>46031</v>
      </c>
      <c r="AV6" s="2">
        <f t="shared" si="0"/>
        <v>46032</v>
      </c>
      <c r="AW6" s="15">
        <f t="shared" si="0"/>
        <v>46033</v>
      </c>
      <c r="AX6" s="2">
        <f t="shared" si="0"/>
        <v>46034</v>
      </c>
      <c r="AY6" s="2">
        <f t="shared" si="0"/>
        <v>46035</v>
      </c>
      <c r="AZ6" s="2">
        <f t="shared" si="0"/>
        <v>46036</v>
      </c>
      <c r="BA6" s="2">
        <f t="shared" si="0"/>
        <v>46037</v>
      </c>
      <c r="BB6" s="2">
        <f t="shared" si="0"/>
        <v>46038</v>
      </c>
      <c r="BC6" s="16">
        <f t="shared" si="0"/>
        <v>46039</v>
      </c>
      <c r="BD6" s="2">
        <f t="shared" si="0"/>
        <v>46040</v>
      </c>
      <c r="BE6" s="2">
        <f t="shared" si="0"/>
        <v>46041</v>
      </c>
      <c r="BF6" s="2">
        <f t="shared" si="0"/>
        <v>46042</v>
      </c>
      <c r="BG6" s="2">
        <f t="shared" si="0"/>
        <v>46043</v>
      </c>
      <c r="BH6" s="2">
        <f t="shared" si="0"/>
        <v>46044</v>
      </c>
      <c r="BI6" s="2">
        <f t="shared" si="0"/>
        <v>46045</v>
      </c>
      <c r="BJ6" s="2">
        <f t="shared" si="0"/>
        <v>46046</v>
      </c>
      <c r="BK6" s="15">
        <f t="shared" si="0"/>
        <v>46047</v>
      </c>
      <c r="BL6" s="2">
        <f t="shared" si="0"/>
        <v>46048</v>
      </c>
      <c r="BM6" s="2">
        <f t="shared" si="0"/>
        <v>46049</v>
      </c>
      <c r="BN6" s="2">
        <f t="shared" si="0"/>
        <v>46050</v>
      </c>
      <c r="BO6" s="2">
        <f t="shared" si="0"/>
        <v>46051</v>
      </c>
      <c r="BP6" s="2">
        <f t="shared" si="0"/>
        <v>46052</v>
      </c>
      <c r="BQ6" s="16">
        <f t="shared" si="0"/>
        <v>46053</v>
      </c>
      <c r="BR6" s="2">
        <f t="shared" si="0"/>
        <v>46054</v>
      </c>
      <c r="BS6" s="2">
        <f t="shared" si="0"/>
        <v>46055</v>
      </c>
      <c r="BT6" s="2">
        <f t="shared" si="0"/>
        <v>46056</v>
      </c>
      <c r="BU6" s="2">
        <f t="shared" si="0"/>
        <v>46057</v>
      </c>
      <c r="BV6" s="2">
        <f t="shared" si="0"/>
        <v>46058</v>
      </c>
      <c r="BW6" s="2">
        <f t="shared" si="0"/>
        <v>46059</v>
      </c>
      <c r="BX6" s="2">
        <f t="shared" si="0"/>
        <v>46060</v>
      </c>
      <c r="BY6" s="15">
        <f t="shared" si="0"/>
        <v>46061</v>
      </c>
      <c r="BZ6" s="2">
        <f t="shared" si="0"/>
        <v>46062</v>
      </c>
      <c r="CA6" s="2">
        <f t="shared" si="0"/>
        <v>46063</v>
      </c>
      <c r="CB6" s="2">
        <f t="shared" ref="CB6:CE6" si="1">CA6+1</f>
        <v>46064</v>
      </c>
      <c r="CC6" s="2">
        <f t="shared" si="1"/>
        <v>46065</v>
      </c>
      <c r="CD6" s="2">
        <f t="shared" si="1"/>
        <v>46066</v>
      </c>
      <c r="CE6" s="16">
        <f t="shared" si="1"/>
        <v>46067</v>
      </c>
    </row>
    <row r="7" spans="1:84" s="6" customFormat="1" ht="28" customHeight="1" x14ac:dyDescent="0.35">
      <c r="A7" s="39"/>
      <c r="B7" s="31" t="s">
        <v>11</v>
      </c>
      <c r="C7" s="31" t="s">
        <v>10</v>
      </c>
      <c r="D7" s="31" t="s">
        <v>0</v>
      </c>
      <c r="E7" s="31" t="s">
        <v>1</v>
      </c>
      <c r="F7" s="31" t="s">
        <v>6</v>
      </c>
      <c r="G7" s="31" t="s">
        <v>9</v>
      </c>
      <c r="H7" s="31" t="s">
        <v>2</v>
      </c>
      <c r="I7" s="20" t="s">
        <v>0</v>
      </c>
      <c r="J7" s="20" t="s">
        <v>1</v>
      </c>
      <c r="K7" s="20" t="s">
        <v>3</v>
      </c>
      <c r="L7" s="20" t="s">
        <v>9</v>
      </c>
      <c r="M7" s="20" t="s">
        <v>2</v>
      </c>
      <c r="N7" s="4" t="str">
        <f>LEFT(UPPER(TEXT(WEEKDAY(N6),"DDD")),1)</f>
        <v>D</v>
      </c>
      <c r="O7" s="4" t="str">
        <f>LEFT(UPPER(TEXT(WEEKDAY(O6),"DDD")),1)</f>
        <v>S</v>
      </c>
      <c r="P7" s="4" t="str">
        <f t="shared" ref="P7:CA7" si="2">LEFT(UPPER(TEXT(WEEKDAY(P6),"DDD")),1)</f>
        <v>T</v>
      </c>
      <c r="Q7" s="4" t="str">
        <f t="shared" si="2"/>
        <v>Q</v>
      </c>
      <c r="R7" s="4" t="str">
        <f t="shared" si="2"/>
        <v>Q</v>
      </c>
      <c r="S7" s="4" t="str">
        <f t="shared" si="2"/>
        <v>S</v>
      </c>
      <c r="T7" s="4" t="str">
        <f t="shared" si="2"/>
        <v>S</v>
      </c>
      <c r="U7" s="4" t="str">
        <f t="shared" si="2"/>
        <v>D</v>
      </c>
      <c r="V7" s="4" t="str">
        <f t="shared" si="2"/>
        <v>S</v>
      </c>
      <c r="W7" s="5" t="str">
        <f t="shared" si="2"/>
        <v>T</v>
      </c>
      <c r="X7" s="5" t="str">
        <f t="shared" si="2"/>
        <v>Q</v>
      </c>
      <c r="Y7" s="5" t="str">
        <f t="shared" si="2"/>
        <v>Q</v>
      </c>
      <c r="Z7" s="5" t="str">
        <f t="shared" si="2"/>
        <v>S</v>
      </c>
      <c r="AA7" s="5" t="str">
        <f t="shared" si="2"/>
        <v>S</v>
      </c>
      <c r="AB7" s="5" t="str">
        <f t="shared" si="2"/>
        <v>D</v>
      </c>
      <c r="AC7" s="5" t="str">
        <f t="shared" si="2"/>
        <v>S</v>
      </c>
      <c r="AD7" s="5" t="str">
        <f t="shared" si="2"/>
        <v>T</v>
      </c>
      <c r="AE7" s="5" t="str">
        <f t="shared" si="2"/>
        <v>Q</v>
      </c>
      <c r="AF7" s="5" t="str">
        <f t="shared" si="2"/>
        <v>Q</v>
      </c>
      <c r="AG7" s="5" t="str">
        <f t="shared" si="2"/>
        <v>S</v>
      </c>
      <c r="AH7" s="5" t="str">
        <f t="shared" si="2"/>
        <v>S</v>
      </c>
      <c r="AI7" s="5" t="str">
        <f t="shared" si="2"/>
        <v>D</v>
      </c>
      <c r="AJ7" s="5" t="str">
        <f t="shared" si="2"/>
        <v>S</v>
      </c>
      <c r="AK7" s="5" t="str">
        <f t="shared" si="2"/>
        <v>T</v>
      </c>
      <c r="AL7" s="5" t="str">
        <f t="shared" si="2"/>
        <v>Q</v>
      </c>
      <c r="AM7" s="5" t="str">
        <f t="shared" si="2"/>
        <v>Q</v>
      </c>
      <c r="AN7" s="5" t="str">
        <f t="shared" si="2"/>
        <v>S</v>
      </c>
      <c r="AO7" s="5" t="str">
        <f t="shared" si="2"/>
        <v>S</v>
      </c>
      <c r="AP7" s="5" t="str">
        <f t="shared" si="2"/>
        <v>D</v>
      </c>
      <c r="AQ7" s="5" t="str">
        <f t="shared" si="2"/>
        <v>S</v>
      </c>
      <c r="AR7" s="5" t="str">
        <f t="shared" si="2"/>
        <v>T</v>
      </c>
      <c r="AS7" s="5" t="str">
        <f t="shared" si="2"/>
        <v>Q</v>
      </c>
      <c r="AT7" s="5" t="str">
        <f t="shared" si="2"/>
        <v>Q</v>
      </c>
      <c r="AU7" s="5" t="str">
        <f t="shared" si="2"/>
        <v>S</v>
      </c>
      <c r="AV7" s="5" t="str">
        <f t="shared" si="2"/>
        <v>S</v>
      </c>
      <c r="AW7" s="5" t="str">
        <f t="shared" si="2"/>
        <v>D</v>
      </c>
      <c r="AX7" s="5" t="str">
        <f t="shared" si="2"/>
        <v>S</v>
      </c>
      <c r="AY7" s="5" t="str">
        <f t="shared" si="2"/>
        <v>T</v>
      </c>
      <c r="AZ7" s="5" t="str">
        <f t="shared" si="2"/>
        <v>Q</v>
      </c>
      <c r="BA7" s="5" t="str">
        <f t="shared" si="2"/>
        <v>Q</v>
      </c>
      <c r="BB7" s="5" t="str">
        <f t="shared" si="2"/>
        <v>S</v>
      </c>
      <c r="BC7" s="5" t="str">
        <f t="shared" si="2"/>
        <v>S</v>
      </c>
      <c r="BD7" s="5" t="str">
        <f t="shared" si="2"/>
        <v>D</v>
      </c>
      <c r="BE7" s="5" t="str">
        <f t="shared" si="2"/>
        <v>S</v>
      </c>
      <c r="BF7" s="5" t="str">
        <f t="shared" si="2"/>
        <v>T</v>
      </c>
      <c r="BG7" s="5" t="str">
        <f t="shared" si="2"/>
        <v>Q</v>
      </c>
      <c r="BH7" s="5" t="str">
        <f t="shared" si="2"/>
        <v>Q</v>
      </c>
      <c r="BI7" s="5" t="str">
        <f t="shared" si="2"/>
        <v>S</v>
      </c>
      <c r="BJ7" s="5" t="str">
        <f t="shared" si="2"/>
        <v>S</v>
      </c>
      <c r="BK7" s="5" t="str">
        <f t="shared" si="2"/>
        <v>D</v>
      </c>
      <c r="BL7" s="5" t="str">
        <f t="shared" si="2"/>
        <v>S</v>
      </c>
      <c r="BM7" s="5" t="str">
        <f t="shared" si="2"/>
        <v>T</v>
      </c>
      <c r="BN7" s="5" t="str">
        <f t="shared" si="2"/>
        <v>Q</v>
      </c>
      <c r="BO7" s="5" t="str">
        <f t="shared" si="2"/>
        <v>Q</v>
      </c>
      <c r="BP7" s="5" t="str">
        <f t="shared" si="2"/>
        <v>S</v>
      </c>
      <c r="BQ7" s="5" t="str">
        <f t="shared" si="2"/>
        <v>S</v>
      </c>
      <c r="BR7" s="5" t="str">
        <f t="shared" si="2"/>
        <v>D</v>
      </c>
      <c r="BS7" s="5" t="str">
        <f t="shared" si="2"/>
        <v>S</v>
      </c>
      <c r="BT7" s="5" t="str">
        <f t="shared" si="2"/>
        <v>T</v>
      </c>
      <c r="BU7" s="5" t="str">
        <f t="shared" si="2"/>
        <v>Q</v>
      </c>
      <c r="BV7" s="5" t="str">
        <f t="shared" si="2"/>
        <v>Q</v>
      </c>
      <c r="BW7" s="5" t="str">
        <f t="shared" si="2"/>
        <v>S</v>
      </c>
      <c r="BX7" s="5" t="str">
        <f t="shared" si="2"/>
        <v>S</v>
      </c>
      <c r="BY7" s="5" t="str">
        <f t="shared" si="2"/>
        <v>D</v>
      </c>
      <c r="BZ7" s="5" t="str">
        <f t="shared" si="2"/>
        <v>S</v>
      </c>
      <c r="CA7" s="5" t="str">
        <f t="shared" si="2"/>
        <v>T</v>
      </c>
      <c r="CB7" s="5" t="str">
        <f t="shared" ref="CB7:CE7" si="3">LEFT(UPPER(TEXT(WEEKDAY(CB6),"DDD")),1)</f>
        <v>Q</v>
      </c>
      <c r="CC7" s="5" t="str">
        <f t="shared" si="3"/>
        <v>Q</v>
      </c>
      <c r="CD7" s="5" t="str">
        <f t="shared" si="3"/>
        <v>S</v>
      </c>
      <c r="CE7" s="5" t="str">
        <f t="shared" si="3"/>
        <v>S</v>
      </c>
      <c r="CF7"/>
    </row>
    <row r="8" spans="1:84" x14ac:dyDescent="0.35">
      <c r="A8" s="40"/>
      <c r="B8" s="23"/>
      <c r="C8" s="24"/>
      <c r="D8" s="12"/>
      <c r="E8" s="12"/>
      <c r="F8" s="11"/>
      <c r="G8" s="11"/>
      <c r="H8" s="18"/>
      <c r="I8" s="12"/>
      <c r="J8" s="19"/>
      <c r="K8" s="11"/>
      <c r="L8" s="26"/>
      <c r="M8" s="21"/>
      <c r="N8" s="12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</row>
    <row r="9" spans="1:84" x14ac:dyDescent="0.35">
      <c r="B9" s="13" t="s">
        <v>45</v>
      </c>
      <c r="C9" s="27" t="s">
        <v>12</v>
      </c>
      <c r="D9" s="28">
        <f>M1</f>
        <v>45995</v>
      </c>
      <c r="E9" s="12">
        <f>D9+F9</f>
        <v>45996</v>
      </c>
      <c r="F9" s="25">
        <v>1</v>
      </c>
      <c r="G9" s="32"/>
      <c r="H9" s="18">
        <f ca="1">IF(D9="",0,IF(D9&gt;TODAY(),0,IF(E9&lt;TODAY(),1,(TODAY()-D9)/(E9-D9))))</f>
        <v>0</v>
      </c>
      <c r="I9" s="1"/>
      <c r="J9" s="12"/>
      <c r="K9" s="11"/>
      <c r="L9" s="32"/>
      <c r="M9" s="21">
        <v>1</v>
      </c>
      <c r="N9" s="12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</row>
    <row r="10" spans="1:84" ht="15.5" x14ac:dyDescent="0.35">
      <c r="B10" s="13" t="s">
        <v>47</v>
      </c>
      <c r="C10" s="13" t="s">
        <v>46</v>
      </c>
      <c r="D10" s="28">
        <f>E9</f>
        <v>45996</v>
      </c>
      <c r="E10" s="12">
        <f>D10+F10</f>
        <v>45998</v>
      </c>
      <c r="F10" s="25">
        <v>2</v>
      </c>
      <c r="G10" s="34" t="s">
        <v>35</v>
      </c>
      <c r="H10" s="18">
        <v>1</v>
      </c>
      <c r="I10" s="1">
        <v>45968</v>
      </c>
      <c r="J10" s="12">
        <f>I10+K10</f>
        <v>45969</v>
      </c>
      <c r="K10" s="25">
        <v>1</v>
      </c>
      <c r="L10" s="34" t="s">
        <v>35</v>
      </c>
      <c r="M10" s="21">
        <v>1</v>
      </c>
      <c r="N10" s="11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</row>
    <row r="11" spans="1:84" ht="15.5" x14ac:dyDescent="0.35">
      <c r="A11" s="40"/>
      <c r="B11" s="13"/>
      <c r="C11" s="13" t="s">
        <v>13</v>
      </c>
      <c r="D11" s="28">
        <f t="shared" ref="D11:D18" si="4">E10</f>
        <v>45998</v>
      </c>
      <c r="E11" s="12">
        <f t="shared" ref="E11:E20" si="5">D11+F11</f>
        <v>45999</v>
      </c>
      <c r="F11" s="25">
        <v>1</v>
      </c>
      <c r="G11" s="34" t="s">
        <v>35</v>
      </c>
      <c r="H11" s="18">
        <v>1</v>
      </c>
      <c r="I11" s="28">
        <v>45974</v>
      </c>
      <c r="J11" s="12">
        <v>45671</v>
      </c>
      <c r="K11" s="25">
        <v>2</v>
      </c>
      <c r="L11" s="35" t="s">
        <v>36</v>
      </c>
      <c r="M11" s="21">
        <v>1</v>
      </c>
      <c r="N11" s="1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</row>
    <row r="12" spans="1:84" x14ac:dyDescent="0.35">
      <c r="A12" s="40"/>
      <c r="B12" s="13"/>
      <c r="C12" s="13" t="s">
        <v>14</v>
      </c>
      <c r="D12" s="28">
        <f t="shared" si="4"/>
        <v>45999</v>
      </c>
      <c r="E12" s="12">
        <f t="shared" si="5"/>
        <v>46001</v>
      </c>
      <c r="F12" s="25">
        <v>2</v>
      </c>
      <c r="G12" s="33"/>
      <c r="H12" s="18"/>
      <c r="I12" s="12"/>
      <c r="J12" s="12"/>
      <c r="K12" s="25"/>
      <c r="L12" s="33"/>
      <c r="M12" s="21"/>
      <c r="N12" s="11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</row>
    <row r="13" spans="1:84" x14ac:dyDescent="0.35">
      <c r="A13" s="40"/>
      <c r="B13" s="13" t="s">
        <v>47</v>
      </c>
      <c r="C13" s="13" t="s">
        <v>48</v>
      </c>
      <c r="D13" s="28">
        <f t="shared" si="4"/>
        <v>46001</v>
      </c>
      <c r="E13" s="12">
        <f t="shared" si="5"/>
        <v>46003</v>
      </c>
      <c r="F13" s="25">
        <v>2</v>
      </c>
      <c r="G13" s="36" t="s">
        <v>37</v>
      </c>
      <c r="H13" s="18">
        <f t="shared" ref="H13" ca="1" si="6">IF(D13="",0,IF(D13&gt;TODAY(),0,IF(E13&lt;TODAY(),1,(TODAY()-D13)/(E13-D13))))</f>
        <v>0</v>
      </c>
      <c r="I13" s="28">
        <v>45979</v>
      </c>
      <c r="J13" s="12">
        <v>45981</v>
      </c>
      <c r="K13" s="25"/>
      <c r="L13" s="32"/>
      <c r="M13" s="21">
        <v>1</v>
      </c>
      <c r="N13" s="11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</row>
    <row r="14" spans="1:84" x14ac:dyDescent="0.35">
      <c r="A14" s="40"/>
      <c r="B14" s="13"/>
      <c r="C14" s="13" t="s">
        <v>15</v>
      </c>
      <c r="D14" s="28">
        <f t="shared" si="4"/>
        <v>46003</v>
      </c>
      <c r="E14" s="12">
        <f t="shared" si="5"/>
        <v>46005.2</v>
      </c>
      <c r="F14" s="25">
        <v>2.2000000000000002</v>
      </c>
      <c r="G14" s="32"/>
      <c r="H14" s="18">
        <f ca="1">IF(D14="",0,IF(D14&gt;TODAY(),0,IF(E14&lt;TODAY(),1,(TODAY()-D14)/(E14-D14))))</f>
        <v>0</v>
      </c>
      <c r="I14" s="12">
        <v>45979</v>
      </c>
      <c r="J14" s="12">
        <v>45981</v>
      </c>
      <c r="K14" s="25"/>
      <c r="L14" s="32"/>
      <c r="M14" s="21">
        <v>1</v>
      </c>
      <c r="N14" s="11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</row>
    <row r="15" spans="1:84" x14ac:dyDescent="0.35">
      <c r="A15" s="40"/>
      <c r="B15" s="13"/>
      <c r="C15" s="13" t="s">
        <v>16</v>
      </c>
      <c r="D15" s="28">
        <f t="shared" si="4"/>
        <v>46005.2</v>
      </c>
      <c r="E15" s="12">
        <f t="shared" si="5"/>
        <v>46007.6</v>
      </c>
      <c r="F15" s="25">
        <v>2.4</v>
      </c>
      <c r="G15" s="33"/>
      <c r="H15" s="18"/>
      <c r="I15" s="12">
        <v>45972</v>
      </c>
      <c r="J15" s="12">
        <v>45975</v>
      </c>
      <c r="K15" s="25"/>
      <c r="L15" s="33"/>
      <c r="M15" s="21">
        <v>0.9</v>
      </c>
      <c r="N15" s="11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</row>
    <row r="16" spans="1:84" x14ac:dyDescent="0.35">
      <c r="A16" s="40"/>
      <c r="B16" s="13"/>
      <c r="C16" s="13" t="s">
        <v>17</v>
      </c>
      <c r="D16" s="28">
        <f t="shared" si="4"/>
        <v>46007.6</v>
      </c>
      <c r="E16" s="12">
        <f t="shared" si="5"/>
        <v>46010.2</v>
      </c>
      <c r="F16" s="25">
        <v>2.6</v>
      </c>
      <c r="G16" s="32"/>
      <c r="H16" s="18">
        <f t="shared" ref="H16:H39" ca="1" si="7">IF(D16="",0,IF(D16&gt;TODAY(),0,IF(E16&lt;TODAY(),1,(TODAY()-D16)/(E16-D16))))</f>
        <v>0</v>
      </c>
      <c r="I16" s="12"/>
      <c r="J16" s="12"/>
      <c r="K16" s="25"/>
      <c r="L16" s="32"/>
      <c r="M16" s="21">
        <v>0</v>
      </c>
      <c r="N16" s="11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</row>
    <row r="17" spans="1:83" x14ac:dyDescent="0.35">
      <c r="A17" s="40"/>
      <c r="B17" s="13"/>
      <c r="C17" s="13" t="s">
        <v>18</v>
      </c>
      <c r="D17" s="28">
        <f t="shared" si="4"/>
        <v>46010.2</v>
      </c>
      <c r="E17" s="12">
        <f t="shared" si="5"/>
        <v>46013</v>
      </c>
      <c r="F17" s="25">
        <v>2.8</v>
      </c>
      <c r="G17" s="32"/>
      <c r="H17" s="18">
        <f t="shared" ca="1" si="7"/>
        <v>0</v>
      </c>
      <c r="I17" s="12"/>
      <c r="J17" s="12"/>
      <c r="K17" s="25"/>
      <c r="L17" s="32"/>
      <c r="M17" s="21">
        <v>0</v>
      </c>
      <c r="N17" s="11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</row>
    <row r="18" spans="1:83" x14ac:dyDescent="0.35">
      <c r="A18" s="40"/>
      <c r="B18" s="13"/>
      <c r="C18" s="13" t="s">
        <v>19</v>
      </c>
      <c r="D18" s="28">
        <f t="shared" si="4"/>
        <v>46013</v>
      </c>
      <c r="E18" s="12">
        <f t="shared" si="5"/>
        <v>46016</v>
      </c>
      <c r="F18" s="25">
        <v>3</v>
      </c>
      <c r="G18" s="33"/>
      <c r="H18" s="18"/>
      <c r="I18" s="12"/>
      <c r="J18" s="12"/>
      <c r="K18" s="25"/>
      <c r="L18" s="33"/>
      <c r="M18" s="21"/>
      <c r="N18" s="11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</row>
    <row r="19" spans="1:83" x14ac:dyDescent="0.35">
      <c r="A19" s="40"/>
      <c r="B19" s="13"/>
      <c r="C19" s="13" t="s">
        <v>20</v>
      </c>
      <c r="D19" s="28"/>
      <c r="E19" s="12"/>
      <c r="F19" s="25"/>
      <c r="G19" s="33"/>
      <c r="H19" s="18"/>
      <c r="I19" s="12"/>
      <c r="J19" s="12"/>
      <c r="K19" s="25"/>
      <c r="L19" s="33"/>
      <c r="M19" s="21"/>
      <c r="N19" s="11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</row>
    <row r="20" spans="1:83" x14ac:dyDescent="0.35">
      <c r="A20" s="40"/>
      <c r="B20" s="13" t="s">
        <v>45</v>
      </c>
      <c r="C20" s="27" t="s">
        <v>21</v>
      </c>
      <c r="D20" s="1">
        <f>E18</f>
        <v>46016</v>
      </c>
      <c r="E20" s="12">
        <f t="shared" si="5"/>
        <v>46017</v>
      </c>
      <c r="F20" s="25">
        <v>1</v>
      </c>
      <c r="G20" s="32"/>
      <c r="H20" s="18">
        <f t="shared" ca="1" si="7"/>
        <v>0</v>
      </c>
      <c r="I20" s="12"/>
      <c r="J20" s="12"/>
      <c r="K20" s="25"/>
      <c r="L20" s="32"/>
      <c r="M20" s="21">
        <v>0</v>
      </c>
      <c r="N20" s="11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</row>
    <row r="21" spans="1:83" x14ac:dyDescent="0.35">
      <c r="A21" s="40"/>
      <c r="B21" s="13" t="s">
        <v>47</v>
      </c>
      <c r="C21" s="13" t="s">
        <v>49</v>
      </c>
      <c r="D21" s="28">
        <f>E20</f>
        <v>46017</v>
      </c>
      <c r="E21" s="12">
        <f>D21+F21</f>
        <v>46019</v>
      </c>
      <c r="F21" s="25">
        <v>2</v>
      </c>
      <c r="G21" s="32"/>
      <c r="H21" s="18">
        <f t="shared" ca="1" si="7"/>
        <v>0</v>
      </c>
      <c r="I21" s="12"/>
      <c r="J21" s="12"/>
      <c r="K21" s="25"/>
      <c r="L21" s="32"/>
      <c r="M21" s="21">
        <v>0</v>
      </c>
      <c r="N21" s="11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</row>
    <row r="22" spans="1:83" x14ac:dyDescent="0.35">
      <c r="A22" s="40"/>
      <c r="B22" s="13"/>
      <c r="C22" s="13" t="s">
        <v>22</v>
      </c>
      <c r="D22" s="28">
        <f t="shared" ref="D22:D33" si="8">E21</f>
        <v>46019</v>
      </c>
      <c r="E22" s="12">
        <f t="shared" ref="E22:E39" si="9">D22+F22</f>
        <v>46020</v>
      </c>
      <c r="F22" s="25">
        <v>1</v>
      </c>
      <c r="G22" s="33"/>
      <c r="H22" s="18">
        <f t="shared" ca="1" si="7"/>
        <v>0</v>
      </c>
      <c r="I22" s="12"/>
      <c r="J22" s="12"/>
      <c r="K22" s="25"/>
      <c r="L22" s="33"/>
      <c r="M22" s="21"/>
      <c r="N22" s="11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</row>
    <row r="23" spans="1:83" x14ac:dyDescent="0.35">
      <c r="A23" s="40"/>
      <c r="B23" s="13"/>
      <c r="C23" s="13" t="s">
        <v>23</v>
      </c>
      <c r="D23" s="28">
        <f t="shared" si="8"/>
        <v>46020</v>
      </c>
      <c r="E23" s="12">
        <f t="shared" si="9"/>
        <v>46022</v>
      </c>
      <c r="F23" s="25">
        <v>2</v>
      </c>
      <c r="G23" s="32"/>
      <c r="H23" s="18">
        <f t="shared" ca="1" si="7"/>
        <v>0</v>
      </c>
      <c r="I23" s="12"/>
      <c r="J23" s="12"/>
      <c r="K23" s="25"/>
      <c r="L23" s="32"/>
      <c r="M23" s="21">
        <v>0</v>
      </c>
      <c r="N23" s="11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</row>
    <row r="24" spans="1:83" x14ac:dyDescent="0.35">
      <c r="A24" s="40"/>
      <c r="B24" s="13" t="s">
        <v>47</v>
      </c>
      <c r="C24" s="13" t="s">
        <v>24</v>
      </c>
      <c r="D24" s="28">
        <f t="shared" si="8"/>
        <v>46022</v>
      </c>
      <c r="E24" s="12">
        <f t="shared" si="9"/>
        <v>46023</v>
      </c>
      <c r="F24" s="25">
        <v>1</v>
      </c>
      <c r="G24" s="32"/>
      <c r="H24" s="18">
        <f t="shared" ca="1" si="7"/>
        <v>0</v>
      </c>
      <c r="I24" s="12"/>
      <c r="J24" s="12"/>
      <c r="K24" s="25"/>
      <c r="L24" s="32"/>
      <c r="M24" s="21">
        <v>0</v>
      </c>
      <c r="N24" s="11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</row>
    <row r="25" spans="1:83" x14ac:dyDescent="0.35">
      <c r="A25" s="40"/>
      <c r="B25" s="13"/>
      <c r="C25" s="13" t="s">
        <v>26</v>
      </c>
      <c r="D25" s="28">
        <f t="shared" si="8"/>
        <v>46023</v>
      </c>
      <c r="E25" s="12">
        <f t="shared" si="9"/>
        <v>46025</v>
      </c>
      <c r="F25" s="25">
        <v>2</v>
      </c>
      <c r="G25" s="32"/>
      <c r="H25" s="18">
        <f t="shared" ca="1" si="7"/>
        <v>0</v>
      </c>
      <c r="I25" s="12"/>
      <c r="J25" s="12"/>
      <c r="K25" s="25"/>
      <c r="L25" s="32"/>
      <c r="M25" s="21">
        <v>0</v>
      </c>
      <c r="N25" s="11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</row>
    <row r="26" spans="1:83" x14ac:dyDescent="0.35">
      <c r="A26" s="40"/>
      <c r="B26" s="13"/>
      <c r="C26" s="13" t="s">
        <v>27</v>
      </c>
      <c r="D26" s="28">
        <f t="shared" si="8"/>
        <v>46025</v>
      </c>
      <c r="E26" s="12">
        <f t="shared" si="9"/>
        <v>46026</v>
      </c>
      <c r="F26" s="25">
        <v>1</v>
      </c>
      <c r="G26" s="32"/>
      <c r="H26" s="18">
        <f t="shared" ca="1" si="7"/>
        <v>0</v>
      </c>
      <c r="I26" s="12"/>
      <c r="J26" s="12"/>
      <c r="K26" s="25"/>
      <c r="L26" s="32"/>
      <c r="M26" s="21">
        <v>0</v>
      </c>
      <c r="N26" s="11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</row>
    <row r="27" spans="1:83" x14ac:dyDescent="0.35">
      <c r="A27" s="40"/>
      <c r="B27" s="13"/>
      <c r="C27" s="13" t="s">
        <v>28</v>
      </c>
      <c r="D27" s="28">
        <f t="shared" si="8"/>
        <v>46026</v>
      </c>
      <c r="E27" s="12">
        <f t="shared" si="9"/>
        <v>46028</v>
      </c>
      <c r="F27" s="25">
        <v>2</v>
      </c>
      <c r="G27" s="32"/>
      <c r="H27" s="18">
        <f t="shared" ca="1" si="7"/>
        <v>0</v>
      </c>
      <c r="I27" s="12"/>
      <c r="J27" s="12"/>
      <c r="K27" s="25"/>
      <c r="L27" s="32"/>
      <c r="M27" s="21">
        <v>0</v>
      </c>
      <c r="N27" s="11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</row>
    <row r="28" spans="1:83" x14ac:dyDescent="0.35">
      <c r="A28" s="40"/>
      <c r="B28" s="13"/>
      <c r="C28" s="13" t="s">
        <v>27</v>
      </c>
      <c r="D28" s="28">
        <f t="shared" si="8"/>
        <v>46028</v>
      </c>
      <c r="E28" s="12">
        <f t="shared" si="9"/>
        <v>46029</v>
      </c>
      <c r="F28" s="25">
        <v>1</v>
      </c>
      <c r="G28" s="32"/>
      <c r="H28" s="18">
        <f t="shared" ca="1" si="7"/>
        <v>0</v>
      </c>
      <c r="I28" s="12"/>
      <c r="J28" s="12"/>
      <c r="K28" s="25"/>
      <c r="L28" s="32"/>
      <c r="M28" s="21">
        <v>0</v>
      </c>
      <c r="N28" s="11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</row>
    <row r="29" spans="1:83" x14ac:dyDescent="0.35">
      <c r="A29" s="40"/>
      <c r="B29" s="13"/>
      <c r="C29" s="13" t="s">
        <v>25</v>
      </c>
      <c r="D29" s="28">
        <f>E28</f>
        <v>46029</v>
      </c>
      <c r="E29" s="12">
        <f>D29+F29</f>
        <v>46031</v>
      </c>
      <c r="F29" s="25">
        <v>2</v>
      </c>
      <c r="G29" s="32"/>
      <c r="H29" s="18">
        <f t="shared" ca="1" si="7"/>
        <v>0</v>
      </c>
      <c r="I29" s="12"/>
      <c r="J29" s="12"/>
      <c r="K29" s="25"/>
      <c r="L29" s="32"/>
      <c r="M29" s="21">
        <v>0</v>
      </c>
      <c r="N29" s="11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</row>
    <row r="30" spans="1:83" x14ac:dyDescent="0.35">
      <c r="A30" s="40"/>
      <c r="B30" s="13"/>
      <c r="C30" s="13" t="s">
        <v>29</v>
      </c>
      <c r="D30" s="28">
        <f t="shared" si="8"/>
        <v>46031</v>
      </c>
      <c r="E30" s="12">
        <f t="shared" si="9"/>
        <v>46032</v>
      </c>
      <c r="F30" s="25">
        <v>1</v>
      </c>
      <c r="G30" s="32"/>
      <c r="H30" s="18">
        <f t="shared" ca="1" si="7"/>
        <v>0</v>
      </c>
      <c r="I30" s="12"/>
      <c r="J30" s="12"/>
      <c r="K30" s="25"/>
      <c r="L30" s="32"/>
      <c r="M30" s="21">
        <v>0</v>
      </c>
      <c r="N30" s="11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</row>
    <row r="31" spans="1:83" x14ac:dyDescent="0.35">
      <c r="A31" s="40"/>
      <c r="B31" s="13"/>
      <c r="C31" s="13" t="s">
        <v>26</v>
      </c>
      <c r="D31" s="28">
        <f t="shared" si="8"/>
        <v>46032</v>
      </c>
      <c r="E31" s="12">
        <f t="shared" si="9"/>
        <v>46034</v>
      </c>
      <c r="F31" s="25">
        <v>2</v>
      </c>
      <c r="G31" s="32"/>
      <c r="H31" s="18">
        <f t="shared" ca="1" si="7"/>
        <v>0</v>
      </c>
      <c r="I31" s="12"/>
      <c r="J31" s="12"/>
      <c r="K31" s="25"/>
      <c r="L31" s="32"/>
      <c r="M31" s="21">
        <v>0</v>
      </c>
      <c r="N31" s="11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</row>
    <row r="32" spans="1:83" x14ac:dyDescent="0.35">
      <c r="A32" s="40"/>
      <c r="B32" s="13"/>
      <c r="C32" s="13" t="s">
        <v>27</v>
      </c>
      <c r="D32" s="28">
        <f t="shared" si="8"/>
        <v>46034</v>
      </c>
      <c r="E32" s="12">
        <f t="shared" si="9"/>
        <v>46047</v>
      </c>
      <c r="F32" s="25">
        <v>13</v>
      </c>
      <c r="G32" s="32"/>
      <c r="H32" s="18">
        <f t="shared" ca="1" si="7"/>
        <v>0</v>
      </c>
      <c r="I32" s="12"/>
      <c r="J32" s="12"/>
      <c r="K32" s="25"/>
      <c r="L32" s="32"/>
      <c r="M32" s="21">
        <v>0</v>
      </c>
      <c r="N32" s="11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</row>
    <row r="33" spans="1:83" x14ac:dyDescent="0.35">
      <c r="A33" s="40"/>
      <c r="B33" s="13"/>
      <c r="C33" s="13" t="s">
        <v>28</v>
      </c>
      <c r="D33" s="28">
        <f t="shared" si="8"/>
        <v>46047</v>
      </c>
      <c r="E33" s="12">
        <f t="shared" si="9"/>
        <v>46049</v>
      </c>
      <c r="F33" s="25">
        <v>2</v>
      </c>
      <c r="G33" s="32"/>
      <c r="H33" s="18">
        <f t="shared" ca="1" si="7"/>
        <v>0</v>
      </c>
      <c r="I33" s="12"/>
      <c r="J33" s="12"/>
      <c r="K33" s="25"/>
      <c r="L33" s="32"/>
      <c r="M33" s="21">
        <v>0</v>
      </c>
      <c r="N33" s="11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</row>
    <row r="34" spans="1:83" x14ac:dyDescent="0.35">
      <c r="A34" s="40"/>
      <c r="B34" s="13"/>
      <c r="C34" s="13" t="s">
        <v>30</v>
      </c>
      <c r="D34" s="1">
        <v>45981</v>
      </c>
      <c r="E34" s="12">
        <f t="shared" si="9"/>
        <v>45984</v>
      </c>
      <c r="F34" s="25">
        <v>3</v>
      </c>
      <c r="G34" s="32"/>
      <c r="H34" s="18">
        <f t="shared" ca="1" si="7"/>
        <v>1</v>
      </c>
      <c r="I34" s="12"/>
      <c r="J34" s="12"/>
      <c r="K34" s="25"/>
      <c r="L34" s="32"/>
      <c r="M34" s="21">
        <v>0</v>
      </c>
      <c r="N34" s="11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</row>
    <row r="35" spans="1:83" x14ac:dyDescent="0.35">
      <c r="A35" s="40"/>
      <c r="B35" s="13"/>
      <c r="C35" s="13" t="s">
        <v>26</v>
      </c>
      <c r="D35" s="12"/>
      <c r="E35" s="12"/>
      <c r="F35" s="25"/>
      <c r="G35" s="32"/>
      <c r="H35" s="18">
        <f t="shared" ca="1" si="7"/>
        <v>0</v>
      </c>
      <c r="I35" s="12"/>
      <c r="J35" s="12"/>
      <c r="K35" s="25"/>
      <c r="L35" s="32"/>
      <c r="M35" s="21">
        <v>0</v>
      </c>
      <c r="N35" s="11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</row>
    <row r="36" spans="1:83" x14ac:dyDescent="0.35">
      <c r="A36" s="40"/>
      <c r="B36" s="13"/>
      <c r="C36" s="13" t="s">
        <v>27</v>
      </c>
      <c r="D36" s="1">
        <v>45980</v>
      </c>
      <c r="E36" s="12">
        <f t="shared" si="9"/>
        <v>45981</v>
      </c>
      <c r="F36" s="25">
        <v>1</v>
      </c>
      <c r="G36" s="32"/>
      <c r="H36" s="18">
        <f t="shared" ca="1" si="7"/>
        <v>1</v>
      </c>
      <c r="I36" s="12"/>
      <c r="J36" s="12"/>
      <c r="K36" s="25"/>
      <c r="L36" s="32"/>
      <c r="M36" s="21">
        <v>0</v>
      </c>
      <c r="N36" s="11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</row>
    <row r="37" spans="1:83" x14ac:dyDescent="0.35">
      <c r="A37" s="40"/>
      <c r="B37" s="13"/>
      <c r="C37" s="13" t="s">
        <v>28</v>
      </c>
      <c r="D37" s="28">
        <f t="shared" ref="D37" si="10">E36</f>
        <v>45981</v>
      </c>
      <c r="E37" s="12">
        <f t="shared" si="9"/>
        <v>45983</v>
      </c>
      <c r="F37" s="25">
        <v>2</v>
      </c>
      <c r="G37" s="32"/>
      <c r="H37" s="18">
        <f t="shared" ca="1" si="7"/>
        <v>1</v>
      </c>
      <c r="I37" s="12"/>
      <c r="J37" s="12"/>
      <c r="K37" s="25"/>
      <c r="L37" s="32"/>
      <c r="M37" s="21">
        <v>0</v>
      </c>
      <c r="N37" s="11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</row>
    <row r="38" spans="1:83" x14ac:dyDescent="0.35">
      <c r="A38" s="40"/>
      <c r="B38" s="13" t="s">
        <v>47</v>
      </c>
      <c r="C38" s="13" t="s">
        <v>50</v>
      </c>
      <c r="D38" s="1">
        <v>45981</v>
      </c>
      <c r="E38" s="12">
        <f t="shared" si="9"/>
        <v>45984</v>
      </c>
      <c r="F38" s="25">
        <v>3</v>
      </c>
      <c r="G38" s="32"/>
      <c r="H38" s="18">
        <f t="shared" ca="1" si="7"/>
        <v>1</v>
      </c>
      <c r="I38" s="12"/>
      <c r="J38" s="12"/>
      <c r="K38" s="25"/>
      <c r="L38" s="32"/>
      <c r="M38" s="21">
        <v>0</v>
      </c>
      <c r="N38" s="11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</row>
    <row r="39" spans="1:83" x14ac:dyDescent="0.35">
      <c r="A39" s="40"/>
      <c r="B39" s="13"/>
      <c r="C39" s="13" t="s">
        <v>31</v>
      </c>
      <c r="D39" s="1">
        <v>45982</v>
      </c>
      <c r="E39" s="12">
        <f t="shared" si="9"/>
        <v>45986</v>
      </c>
      <c r="F39" s="25">
        <v>4</v>
      </c>
      <c r="G39" s="32"/>
      <c r="H39" s="18">
        <f t="shared" ca="1" si="7"/>
        <v>1</v>
      </c>
      <c r="I39" s="12"/>
      <c r="J39" s="12"/>
      <c r="K39" s="25"/>
      <c r="L39" s="32"/>
      <c r="M39" s="21">
        <v>1</v>
      </c>
      <c r="N39" s="11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</row>
    <row r="40" spans="1:83" x14ac:dyDescent="0.35">
      <c r="A40" s="40"/>
      <c r="B40" s="13"/>
      <c r="C40" s="13" t="s">
        <v>32</v>
      </c>
      <c r="D40" s="12"/>
      <c r="E40" s="12"/>
      <c r="F40" s="25"/>
      <c r="G40" s="25"/>
      <c r="H40" s="18"/>
      <c r="I40" s="12"/>
      <c r="J40" s="12"/>
      <c r="K40" s="25"/>
      <c r="L40" s="26"/>
      <c r="M40" s="21"/>
      <c r="N40" s="11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</row>
    <row r="41" spans="1:83" x14ac:dyDescent="0.35">
      <c r="A41" s="40"/>
      <c r="B41" s="13"/>
      <c r="C41" s="13" t="s">
        <v>33</v>
      </c>
      <c r="D41" s="12"/>
      <c r="E41" s="12"/>
      <c r="F41" s="25"/>
      <c r="G41" s="26"/>
      <c r="H41" s="18"/>
      <c r="I41" s="12"/>
      <c r="J41" s="12"/>
      <c r="K41" s="25"/>
      <c r="L41" s="26"/>
      <c r="M41" s="21"/>
      <c r="N41" s="11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</row>
    <row r="42" spans="1:83" x14ac:dyDescent="0.35">
      <c r="A42" s="40"/>
      <c r="B42" s="13" t="s">
        <v>47</v>
      </c>
      <c r="C42" s="13" t="s">
        <v>34</v>
      </c>
      <c r="D42" s="12"/>
      <c r="E42" s="12"/>
      <c r="F42" s="25"/>
      <c r="G42" s="25"/>
      <c r="H42" s="18"/>
      <c r="I42" s="12"/>
      <c r="J42" s="12"/>
      <c r="K42" s="25"/>
      <c r="L42" s="26"/>
      <c r="M42" s="21"/>
      <c r="N42" s="11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</row>
    <row r="43" spans="1:83" x14ac:dyDescent="0.35">
      <c r="A43" s="40"/>
      <c r="B43" s="13"/>
      <c r="C43" s="13"/>
      <c r="D43" s="12"/>
      <c r="E43" s="12"/>
      <c r="F43" s="25"/>
      <c r="G43" s="25"/>
      <c r="H43" s="18"/>
      <c r="I43" s="12"/>
      <c r="J43" s="12"/>
      <c r="K43" s="25"/>
      <c r="L43" s="26"/>
      <c r="M43" s="21"/>
      <c r="N43" s="11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</row>
    <row r="44" spans="1:83" x14ac:dyDescent="0.35">
      <c r="A44" s="40"/>
      <c r="B44" s="13"/>
      <c r="C44" s="13"/>
      <c r="D44" s="12"/>
      <c r="E44" s="12"/>
      <c r="F44" s="25"/>
      <c r="G44" s="26"/>
      <c r="H44" s="18"/>
      <c r="I44" s="12"/>
      <c r="J44" s="12"/>
      <c r="K44" s="25"/>
      <c r="L44" s="26"/>
      <c r="M44" s="21"/>
      <c r="N44" s="11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</row>
    <row r="45" spans="1:83" x14ac:dyDescent="0.35">
      <c r="A45" s="40"/>
      <c r="B45" s="13" t="str">
        <f t="shared" ref="B45" si="11">IF(C45="","",IF(C45&gt;=$H$6,"Ongoing","Legado"))</f>
        <v/>
      </c>
      <c r="C45" s="24"/>
      <c r="D45" s="12"/>
      <c r="E45" s="12"/>
      <c r="F45" s="11"/>
      <c r="G45" s="11"/>
      <c r="H45" s="18"/>
      <c r="I45" s="11"/>
      <c r="J45" s="11"/>
      <c r="K45" s="11"/>
      <c r="L45" s="26"/>
      <c r="M45" s="21"/>
      <c r="N45" s="11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</row>
    <row r="47" spans="1:83" x14ac:dyDescent="0.35">
      <c r="D47" s="1"/>
    </row>
  </sheetData>
  <mergeCells count="2">
    <mergeCell ref="C2:D2"/>
    <mergeCell ref="C3:D5"/>
  </mergeCells>
  <conditionalFormatting sqref="H36:H39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{928C539D-9E0B-450F-B5B6-EEEF0DFC380D}</x14:id>
        </ext>
      </extLst>
    </cfRule>
  </conditionalFormatting>
  <conditionalFormatting sqref="H40:H45 H8:H35">
    <cfRule type="dataBar" priority="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{F7A41550-2FD5-4235-BD90-C32B404CD60A}</x14:id>
        </ext>
      </extLst>
    </cfRule>
  </conditionalFormatting>
  <conditionalFormatting sqref="M36:M39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{D1386799-30A9-4841-8FE3-C8F86A80A740}</x14:id>
        </ext>
      </extLst>
    </cfRule>
  </conditionalFormatting>
  <conditionalFormatting sqref="M40:M45 M8:M35">
    <cfRule type="dataBar" priority="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{55208905-161B-4B33-9EFD-69740F44706F}</x14:id>
        </ext>
      </extLst>
    </cfRule>
  </conditionalFormatting>
  <conditionalFormatting sqref="N6:CE45">
    <cfRule type="expression" dxfId="4" priority="4">
      <formula>N$6=TODAY()</formula>
    </cfRule>
  </conditionalFormatting>
  <conditionalFormatting sqref="N7:CE45">
    <cfRule type="expression" dxfId="2" priority="5">
      <formula>OR(WEEKDAY(N$6)=1,WEEKDAY(N$6)=7)</formula>
    </cfRule>
  </conditionalFormatting>
  <conditionalFormatting sqref="N8:CE45">
    <cfRule type="expression" dxfId="1" priority="6">
      <formula>AND($I8&lt;&gt;"",$J8&lt;&gt;"",N$6&lt;=data_progresso,N$6&gt;=$I8,N$6&lt;=$J8)</formula>
    </cfRule>
    <cfRule type="expression" dxfId="0" priority="7">
      <formula>AND(N$6&gt;=$D8,N$6&lt;=$E8,$D8&lt;&gt;"",$E8&lt;&gt;"")</formula>
    </cfRule>
  </conditionalFormatting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3" name="Scroll Bar 1">
              <controlPr defaultSize="0" autoPict="0">
                <anchor moveWithCells="1">
                  <from>
                    <xdr:col>13</xdr:col>
                    <xdr:colOff>12700</xdr:colOff>
                    <xdr:row>1</xdr:row>
                    <xdr:rowOff>50800</xdr:rowOff>
                  </from>
                  <to>
                    <xdr:col>18</xdr:col>
                    <xdr:colOff>165100</xdr:colOff>
                    <xdr:row>2</xdr:row>
                    <xdr:rowOff>139700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8C539D-9E0B-450F-B5B6-EEEF0DFC380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H36:H39</xm:sqref>
        </x14:conditionalFormatting>
        <x14:conditionalFormatting xmlns:xm="http://schemas.microsoft.com/office/excel/2006/main">
          <x14:cfRule type="dataBar" id="{F7A41550-2FD5-4235-BD90-C32B404CD60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H40:H45 H8:H35</xm:sqref>
        </x14:conditionalFormatting>
        <x14:conditionalFormatting xmlns:xm="http://schemas.microsoft.com/office/excel/2006/main">
          <x14:cfRule type="dataBar" id="{D1386799-30A9-4841-8FE3-C8F86A80A74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M36:M39</xm:sqref>
        </x14:conditionalFormatting>
        <x14:conditionalFormatting xmlns:xm="http://schemas.microsoft.com/office/excel/2006/main">
          <x14:cfRule type="dataBar" id="{55208905-161B-4B33-9EFD-69740F44706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M40:M45 M8:M35</xm:sqref>
        </x14:conditionalFormatting>
        <x14:conditionalFormatting xmlns:xm="http://schemas.microsoft.com/office/excel/2006/main">
          <x14:cfRule type="expression" priority="3" id="{003DCEFA-CDBA-4F20-BD4D-824C49CE624B}">
            <xm:f>MATCH(N$6,#REF!,0)</xm:f>
            <x14:dxf>
              <fill>
                <patternFill patternType="lightUp">
                  <fgColor rgb="FFFF0000"/>
                </patternFill>
              </fill>
            </x14:dxf>
          </x14:cfRule>
          <xm:sqref>N7:CE45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9987d3-97c5-4886-998a-278e2fca9861">
      <Terms xmlns="http://schemas.microsoft.com/office/infopath/2007/PartnerControls"/>
    </lcf76f155ced4ddcb4097134ff3c332f>
    <TaxCatchAll xmlns="8466bb34-92c4-4e08-847a-4f5d6edeb3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A0FF9C64E764A9A5EF4A1D905800C" ma:contentTypeVersion="19" ma:contentTypeDescription="Create a new document." ma:contentTypeScope="" ma:versionID="726a6ba1db5a661911b7acf620dfcf10">
  <xsd:schema xmlns:xsd="http://www.w3.org/2001/XMLSchema" xmlns:xs="http://www.w3.org/2001/XMLSchema" xmlns:p="http://schemas.microsoft.com/office/2006/metadata/properties" xmlns:ns2="7d9987d3-97c5-4886-998a-278e2fca9861" xmlns:ns3="8466bb34-92c4-4e08-847a-4f5d6edeb3da" targetNamespace="http://schemas.microsoft.com/office/2006/metadata/properties" ma:root="true" ma:fieldsID="e4c4e364875e6d3fa937d7c88a3adc57" ns2:_="" ns3:_="">
    <xsd:import namespace="7d9987d3-97c5-4886-998a-278e2fca9861"/>
    <xsd:import namespace="8466bb34-92c4-4e08-847a-4f5d6edeb3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987d3-97c5-4886-998a-278e2fca9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bd722c-8eea-4fa2-a257-8118360c8e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6bb34-92c4-4e08-847a-4f5d6edeb3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262b7c8-c941-44e0-a704-a3072d26aa0f}" ma:internalName="TaxCatchAll" ma:showField="CatchAllData" ma:web="8466bb34-92c4-4e08-847a-4f5d6edeb3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2596522-7568-493A-8945-F6F6E7B0F414}">
  <ds:schemaRefs>
    <ds:schemaRef ds:uri="http://schemas.microsoft.com/office/2006/metadata/properties"/>
    <ds:schemaRef ds:uri="http://schemas.microsoft.com/office/infopath/2007/PartnerControls"/>
    <ds:schemaRef ds:uri="7d9987d3-97c5-4886-998a-278e2fca9861"/>
    <ds:schemaRef ds:uri="8466bb34-92c4-4e08-847a-4f5d6edeb3da"/>
  </ds:schemaRefs>
</ds:datastoreItem>
</file>

<file path=customXml/itemProps2.xml><?xml version="1.0" encoding="utf-8"?>
<ds:datastoreItem xmlns:ds="http://schemas.openxmlformats.org/officeDocument/2006/customXml" ds:itemID="{E9A3A423-3032-4D3D-8AA3-604C23196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9987d3-97c5-4886-998a-278e2fca9861"/>
    <ds:schemaRef ds:uri="8466bb34-92c4-4e08-847a-4f5d6edeb3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6A022C-24A4-4545-B425-5792403A293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7F361-A8F2-4139-BBDA-82477E1AF00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27cb1b6-4159-4a38-a94b-cbd1c10c7376}" enabled="1" method="Privilege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PIS Cyber</vt:lpstr>
      <vt:lpstr>Demanda_A</vt:lpstr>
      <vt:lpstr>Demanda_B</vt:lpstr>
      <vt:lpstr>Demanda_C</vt:lpstr>
      <vt:lpstr>Dados_ForgIA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Halax Randis</dc:creator>
  <cp:lastModifiedBy>Rafael Pereira Chagas</cp:lastModifiedBy>
  <dcterms:created xsi:type="dcterms:W3CDTF">2024-02-12T13:28:28Z</dcterms:created>
  <dcterms:modified xsi:type="dcterms:W3CDTF">2025-12-02T19:35:21Z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7cb1b6-4159-4a38-a94b-cbd1c10c7376_Enabled">
    <vt:lpwstr>true</vt:lpwstr>
  </property>
  <property fmtid="{D5CDD505-2E9C-101B-9397-08002B2CF9AE}" pid="3" name="MSIP_Label_f27cb1b6-4159-4a38-a94b-cbd1c10c7376_SetDate">
    <vt:lpwstr>2025-11-07T19:10:40Z</vt:lpwstr>
  </property>
  <property fmtid="{D5CDD505-2E9C-101B-9397-08002B2CF9AE}" pid="4" name="MSIP_Label_f27cb1b6-4159-4a38-a94b-cbd1c10c7376_Method">
    <vt:lpwstr>Privileged</vt:lpwstr>
  </property>
  <property fmtid="{D5CDD505-2E9C-101B-9397-08002B2CF9AE}" pid="5" name="MSIP_Label_f27cb1b6-4159-4a38-a94b-cbd1c10c7376_Name">
    <vt:lpwstr>Internal Use</vt:lpwstr>
  </property>
  <property fmtid="{D5CDD505-2E9C-101B-9397-08002B2CF9AE}" pid="6" name="MSIP_Label_f27cb1b6-4159-4a38-a94b-cbd1c10c7376_SiteId">
    <vt:lpwstr>9744600e-3e04-492e-baa1-25ec245c6f10</vt:lpwstr>
  </property>
  <property fmtid="{D5CDD505-2E9C-101B-9397-08002B2CF9AE}" pid="7" name="MSIP_Label_f27cb1b6-4159-4a38-a94b-cbd1c10c7376_ActionId">
    <vt:lpwstr>a3b4ef43-664e-4bb9-8b4a-ef7bc2e28e15</vt:lpwstr>
  </property>
  <property fmtid="{D5CDD505-2E9C-101B-9397-08002B2CF9AE}" pid="8" name="MSIP_Label_f27cb1b6-4159-4a38-a94b-cbd1c10c7376_ContentBits">
    <vt:lpwstr>2</vt:lpwstr>
  </property>
  <property fmtid="{D5CDD505-2E9C-101B-9397-08002B2CF9AE}" pid="9" name="ContentTypeId">
    <vt:lpwstr>0x010100940A0FF9C64E764A9A5EF4A1D905800C</vt:lpwstr>
  </property>
  <property fmtid="{D5CDD505-2E9C-101B-9397-08002B2CF9AE}" pid="10" name="MediaServiceImageTags">
    <vt:lpwstr/>
  </property>
</Properties>
</file>