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175652\Documents\desenvolvimentos\00-dashboard_projetos\"/>
    </mc:Choice>
  </mc:AlternateContent>
  <xr:revisionPtr revIDLastSave="0" documentId="13_ncr:1_{0D5EF446-AE57-49D5-821D-AB0354ED5DBB}" xr6:coauthVersionLast="47" xr6:coauthVersionMax="47" xr10:uidLastSave="{00000000-0000-0000-0000-000000000000}"/>
  <bookViews>
    <workbookView xWindow="-110" yWindow="-110" windowWidth="19420" windowHeight="10300" activeTab="3" xr2:uid="{BB3E8AEC-EF69-410E-89FB-3EFE7D1BAA75}"/>
  </bookViews>
  <sheets>
    <sheet name="ForgIA" sheetId="1" r:id="rId1"/>
    <sheet name="Demanda2_IA" sheetId="7" r:id="rId2"/>
    <sheet name="Demanda3_IA" sheetId="6" r:id="rId3"/>
    <sheet name="Demanda4_IA" sheetId="5" r:id="rId4"/>
    <sheet name="Feriados" sheetId="2" r:id="rId5"/>
  </sheets>
  <definedNames>
    <definedName name="_xlnm._FilterDatabase" localSheetId="4" hidden="1">Feriados!$B$4:$D$4</definedName>
    <definedName name="Dados_Demanda2_IA">Demanda2_IA!$B$6:$M$45</definedName>
    <definedName name="Dados_Demanda3_IA">Demanda3_IA!$B$6:$M$45</definedName>
    <definedName name="Dados_Demanda4_IA">Demanda4_IA!$C$6:$M$45</definedName>
    <definedName name="Dados_ForgIA">ForgIA!$B$6:$M$45</definedName>
    <definedName name="data_progresso" localSheetId="1">IF(Demanda2_IA!$M1&gt;0,Demanda2_IA!$I1+(_xlfn.DAYS(Demanda2_IA!$J1,Demanda2_IA!$I1)*Demanda2_IA!$M1),0)</definedName>
    <definedName name="data_progresso" localSheetId="2">IF(Demanda3_IA!$M1&gt;0,Demanda3_IA!$I1+(_xlfn.DAYS(Demanda3_IA!$J1,Demanda3_IA!$I1)*Demanda3_IA!$M1),0)</definedName>
    <definedName name="data_progresso" localSheetId="3">IF(Demanda4_IA!$M1&gt;0,Demanda4_IA!$I1+(_xlfn.DAYS(Demanda4_IA!$J1,Demanda4_IA!$I1)*Demanda4_IA!$M1),0)</definedName>
    <definedName name="data_progresso">IF(ForgIA!$M1&gt;0,ForgIA!$I1+(_xlfn.DAYS(ForgIA!$J1,ForgIA!$I1)*ForgIA!$M1),0)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B45" i="7"/>
  <c r="E39" i="7"/>
  <c r="H39" i="7" s="1"/>
  <c r="E38" i="7"/>
  <c r="H38" i="7" s="1"/>
  <c r="E36" i="7"/>
  <c r="D37" i="7" s="1"/>
  <c r="H35" i="7"/>
  <c r="E34" i="7"/>
  <c r="H34" i="7" s="1"/>
  <c r="D9" i="7"/>
  <c r="E9" i="7" s="1"/>
  <c r="D10" i="7" s="1"/>
  <c r="E10" i="7" s="1"/>
  <c r="D11" i="7" s="1"/>
  <c r="E11" i="7" s="1"/>
  <c r="D12" i="7" s="1"/>
  <c r="E12" i="7" s="1"/>
  <c r="D13" i="7" s="1"/>
  <c r="N6" i="7"/>
  <c r="N7" i="7" s="1"/>
  <c r="N5" i="7"/>
  <c r="B45" i="6"/>
  <c r="H39" i="6"/>
  <c r="E39" i="6"/>
  <c r="H38" i="6"/>
  <c r="E38" i="6"/>
  <c r="E36" i="6"/>
  <c r="D37" i="6" s="1"/>
  <c r="H35" i="6"/>
  <c r="E34" i="6"/>
  <c r="H34" i="6" s="1"/>
  <c r="N6" i="6"/>
  <c r="N5" i="6" s="1"/>
  <c r="B45" i="5"/>
  <c r="D9" i="5"/>
  <c r="N6" i="5"/>
  <c r="O6" i="5" s="1"/>
  <c r="P6" i="5" s="1"/>
  <c r="D9" i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20" i="1" s="1"/>
  <c r="J10" i="1"/>
  <c r="E39" i="1"/>
  <c r="H39" i="1"/>
  <c r="E38" i="1"/>
  <c r="H38" i="1" s="1"/>
  <c r="E36" i="1"/>
  <c r="D37" i="1" s="1"/>
  <c r="E34" i="1"/>
  <c r="H34" i="1"/>
  <c r="H35" i="1"/>
  <c r="B45" i="1"/>
  <c r="H36" i="6" l="1"/>
  <c r="O6" i="7"/>
  <c r="H36" i="7"/>
  <c r="H9" i="7"/>
  <c r="H36" i="1"/>
  <c r="N7" i="5"/>
  <c r="N5" i="5"/>
  <c r="H9" i="5"/>
  <c r="E9" i="6"/>
  <c r="E13" i="7"/>
  <c r="D14" i="7" s="1"/>
  <c r="E37" i="7"/>
  <c r="H37" i="7" s="1"/>
  <c r="N7" i="6"/>
  <c r="E37" i="6"/>
  <c r="H37" i="6" s="1"/>
  <c r="O6" i="6"/>
  <c r="Q6" i="5"/>
  <c r="P7" i="5"/>
  <c r="E9" i="5"/>
  <c r="D10" i="5" s="1"/>
  <c r="E10" i="5" s="1"/>
  <c r="D11" i="5" s="1"/>
  <c r="E11" i="5" s="1"/>
  <c r="D12" i="5" s="1"/>
  <c r="E12" i="5" s="1"/>
  <c r="D13" i="5" s="1"/>
  <c r="O7" i="5"/>
  <c r="H20" i="1"/>
  <c r="E20" i="1"/>
  <c r="D21" i="1" s="1"/>
  <c r="H16" i="1"/>
  <c r="H13" i="1"/>
  <c r="E37" i="1"/>
  <c r="H37" i="1" s="1"/>
  <c r="H17" i="1"/>
  <c r="H14" i="1"/>
  <c r="H9" i="1"/>
  <c r="P6" i="7" l="1"/>
  <c r="O7" i="7"/>
  <c r="H13" i="7"/>
  <c r="D10" i="6"/>
  <c r="E10" i="6" s="1"/>
  <c r="H9" i="6"/>
  <c r="E14" i="7"/>
  <c r="D15" i="7" s="1"/>
  <c r="E15" i="7" s="1"/>
  <c r="D16" i="7" s="1"/>
  <c r="P6" i="6"/>
  <c r="O7" i="6"/>
  <c r="E13" i="5"/>
  <c r="D14" i="5" s="1"/>
  <c r="Q7" i="5"/>
  <c r="R6" i="5"/>
  <c r="H21" i="1"/>
  <c r="E21" i="1"/>
  <c r="D22" i="1" s="1"/>
  <c r="N6" i="1"/>
  <c r="N7" i="1" s="1"/>
  <c r="P7" i="7" l="1"/>
  <c r="Q6" i="7"/>
  <c r="D11" i="6"/>
  <c r="E11" i="6" s="1"/>
  <c r="H14" i="7"/>
  <c r="E16" i="7"/>
  <c r="D17" i="7" s="1"/>
  <c r="Q6" i="6"/>
  <c r="P7" i="6"/>
  <c r="R7" i="5"/>
  <c r="S6" i="5"/>
  <c r="E14" i="5"/>
  <c r="D15" i="5" s="1"/>
  <c r="E15" i="5" s="1"/>
  <c r="D16" i="5" s="1"/>
  <c r="H22" i="1"/>
  <c r="E22" i="1"/>
  <c r="D23" i="1" s="1"/>
  <c r="N5" i="1"/>
  <c r="O6" i="1"/>
  <c r="P6" i="1" s="1"/>
  <c r="Q6" i="1" s="1"/>
  <c r="R6" i="1" s="1"/>
  <c r="S6" i="1" s="1"/>
  <c r="T6" i="1" s="1"/>
  <c r="U6" i="1" s="1"/>
  <c r="H16" i="7" l="1"/>
  <c r="Q7" i="7"/>
  <c r="R6" i="7"/>
  <c r="D12" i="6"/>
  <c r="E12" i="6" s="1"/>
  <c r="D13" i="6" s="1"/>
  <c r="E17" i="7"/>
  <c r="D18" i="7" s="1"/>
  <c r="E18" i="7" s="1"/>
  <c r="D20" i="7" s="1"/>
  <c r="R6" i="6"/>
  <c r="Q7" i="6"/>
  <c r="E16" i="5"/>
  <c r="D17" i="5" s="1"/>
  <c r="E17" i="5" s="1"/>
  <c r="D18" i="5" s="1"/>
  <c r="E18" i="5" s="1"/>
  <c r="D19" i="5" s="1"/>
  <c r="E19" i="5" s="1"/>
  <c r="D20" i="5" s="1"/>
  <c r="E20" i="5" s="1"/>
  <c r="D21" i="5" s="1"/>
  <c r="S7" i="5"/>
  <c r="T6" i="5"/>
  <c r="E23" i="1"/>
  <c r="D24" i="1" s="1"/>
  <c r="H23" i="1"/>
  <c r="V6" i="1"/>
  <c r="W6" i="1" s="1"/>
  <c r="X6" i="1" s="1"/>
  <c r="Y6" i="1" s="1"/>
  <c r="Y7" i="1" s="1"/>
  <c r="U5" i="1"/>
  <c r="P7" i="1"/>
  <c r="Q7" i="1"/>
  <c r="O7" i="1"/>
  <c r="R7" i="1"/>
  <c r="H21" i="5" l="1"/>
  <c r="E21" i="5"/>
  <c r="D22" i="5" s="1"/>
  <c r="S6" i="7"/>
  <c r="R7" i="7"/>
  <c r="H17" i="7"/>
  <c r="E13" i="6"/>
  <c r="D14" i="6" s="1"/>
  <c r="E20" i="7"/>
  <c r="D21" i="7" s="1"/>
  <c r="S6" i="6"/>
  <c r="R7" i="6"/>
  <c r="U6" i="5"/>
  <c r="T7" i="5"/>
  <c r="E24" i="1"/>
  <c r="D25" i="1" s="1"/>
  <c r="H24" i="1"/>
  <c r="Z6" i="1"/>
  <c r="AA6" i="1" s="1"/>
  <c r="W7" i="1"/>
  <c r="X7" i="1"/>
  <c r="S7" i="1"/>
  <c r="H22" i="5" l="1"/>
  <c r="E22" i="5"/>
  <c r="D23" i="5" s="1"/>
  <c r="H13" i="6"/>
  <c r="T6" i="7"/>
  <c r="S7" i="7"/>
  <c r="E14" i="6"/>
  <c r="H14" i="6" s="1"/>
  <c r="H20" i="7"/>
  <c r="E21" i="7"/>
  <c r="D22" i="7" s="1"/>
  <c r="T6" i="6"/>
  <c r="S7" i="6"/>
  <c r="V6" i="5"/>
  <c r="U7" i="5"/>
  <c r="U5" i="5"/>
  <c r="H25" i="1"/>
  <c r="E25" i="1"/>
  <c r="D26" i="1" s="1"/>
  <c r="Z7" i="1"/>
  <c r="AA7" i="1"/>
  <c r="AB6" i="1"/>
  <c r="AB5" i="1" s="1"/>
  <c r="T7" i="1"/>
  <c r="H23" i="5" l="1"/>
  <c r="E23" i="5"/>
  <c r="D24" i="5" s="1"/>
  <c r="U6" i="7"/>
  <c r="T7" i="7"/>
  <c r="D15" i="6"/>
  <c r="E15" i="6" s="1"/>
  <c r="D16" i="6" s="1"/>
  <c r="H21" i="7"/>
  <c r="E22" i="7"/>
  <c r="D23" i="7" s="1"/>
  <c r="T7" i="6"/>
  <c r="U6" i="6"/>
  <c r="W6" i="5"/>
  <c r="V7" i="5"/>
  <c r="H26" i="1"/>
  <c r="E26" i="1"/>
  <c r="D27" i="1" s="1"/>
  <c r="AC6" i="1"/>
  <c r="AB7" i="1"/>
  <c r="U7" i="1"/>
  <c r="V7" i="1"/>
  <c r="E24" i="5" l="1"/>
  <c r="D25" i="5" s="1"/>
  <c r="H24" i="5"/>
  <c r="U5" i="7"/>
  <c r="V6" i="7"/>
  <c r="U7" i="7"/>
  <c r="E16" i="6"/>
  <c r="D17" i="6" s="1"/>
  <c r="H22" i="7"/>
  <c r="E23" i="7"/>
  <c r="D24" i="7" s="1"/>
  <c r="U7" i="6"/>
  <c r="V6" i="6"/>
  <c r="U5" i="6"/>
  <c r="X6" i="5"/>
  <c r="W7" i="5"/>
  <c r="E27" i="1"/>
  <c r="D28" i="1" s="1"/>
  <c r="H27" i="1"/>
  <c r="AD6" i="1"/>
  <c r="AC7" i="1"/>
  <c r="E25" i="5" l="1"/>
  <c r="D26" i="5" s="1"/>
  <c r="H25" i="5"/>
  <c r="W6" i="7"/>
  <c r="V7" i="7"/>
  <c r="E17" i="6"/>
  <c r="H16" i="6"/>
  <c r="H23" i="7"/>
  <c r="E24" i="7"/>
  <c r="D25" i="7" s="1"/>
  <c r="W6" i="6"/>
  <c r="V7" i="6"/>
  <c r="Y6" i="5"/>
  <c r="X7" i="5"/>
  <c r="E28" i="1"/>
  <c r="D29" i="1" s="1"/>
  <c r="H28" i="1"/>
  <c r="AE6" i="1"/>
  <c r="AD7" i="1"/>
  <c r="E26" i="5" l="1"/>
  <c r="D27" i="5" s="1"/>
  <c r="H26" i="5"/>
  <c r="W7" i="7"/>
  <c r="X6" i="7"/>
  <c r="D18" i="6"/>
  <c r="E18" i="6" s="1"/>
  <c r="D20" i="6" s="1"/>
  <c r="H17" i="6"/>
  <c r="H24" i="7"/>
  <c r="E25" i="7"/>
  <c r="D26" i="7" s="1"/>
  <c r="X6" i="6"/>
  <c r="W7" i="6"/>
  <c r="Y7" i="5"/>
  <c r="Z6" i="5"/>
  <c r="E29" i="1"/>
  <c r="D30" i="1" s="1"/>
  <c r="H29" i="1"/>
  <c r="AF6" i="1"/>
  <c r="AE7" i="1"/>
  <c r="H27" i="5" l="1"/>
  <c r="E27" i="5"/>
  <c r="D28" i="5" s="1"/>
  <c r="H25" i="7"/>
  <c r="Y6" i="7"/>
  <c r="X7" i="7"/>
  <c r="E20" i="6"/>
  <c r="D21" i="6" s="1"/>
  <c r="H20" i="6"/>
  <c r="E26" i="7"/>
  <c r="D27" i="7" s="1"/>
  <c r="H26" i="7"/>
  <c r="Y6" i="6"/>
  <c r="X7" i="6"/>
  <c r="Z7" i="5"/>
  <c r="AA6" i="5"/>
  <c r="H30" i="1"/>
  <c r="E30" i="1"/>
  <c r="D31" i="1" s="1"/>
  <c r="AG6" i="1"/>
  <c r="AF7" i="1"/>
  <c r="E28" i="5" l="1"/>
  <c r="D29" i="5" s="1"/>
  <c r="H28" i="5"/>
  <c r="Y7" i="7"/>
  <c r="Z6" i="7"/>
  <c r="H21" i="6"/>
  <c r="E21" i="6"/>
  <c r="D22" i="6" s="1"/>
  <c r="H27" i="7"/>
  <c r="E27" i="7"/>
  <c r="D28" i="7" s="1"/>
  <c r="Z6" i="6"/>
  <c r="Y7" i="6"/>
  <c r="AA7" i="5"/>
  <c r="AB6" i="5"/>
  <c r="E31" i="1"/>
  <c r="D32" i="1" s="1"/>
  <c r="H31" i="1"/>
  <c r="AG7" i="1"/>
  <c r="AH6" i="1"/>
  <c r="H29" i="5" l="1"/>
  <c r="E29" i="5"/>
  <c r="D30" i="5" s="1"/>
  <c r="AA6" i="7"/>
  <c r="Z7" i="7"/>
  <c r="E22" i="6"/>
  <c r="D23" i="6" s="1"/>
  <c r="H22" i="6"/>
  <c r="E28" i="7"/>
  <c r="D29" i="7" s="1"/>
  <c r="H28" i="7"/>
  <c r="Z7" i="6"/>
  <c r="AA6" i="6"/>
  <c r="AB5" i="5"/>
  <c r="AB7" i="5"/>
  <c r="AC6" i="5"/>
  <c r="H32" i="1"/>
  <c r="E32" i="1"/>
  <c r="D33" i="1" s="1"/>
  <c r="AH7" i="1"/>
  <c r="AI6" i="1"/>
  <c r="AI5" i="1" s="1"/>
  <c r="E30" i="5" l="1"/>
  <c r="D31" i="5" s="1"/>
  <c r="H30" i="5"/>
  <c r="AB6" i="7"/>
  <c r="AA7" i="7"/>
  <c r="E23" i="6"/>
  <c r="D24" i="6" s="1"/>
  <c r="H23" i="6"/>
  <c r="E29" i="7"/>
  <c r="D30" i="7" s="1"/>
  <c r="AA7" i="6"/>
  <c r="AB6" i="6"/>
  <c r="AD6" i="5"/>
  <c r="AC7" i="5"/>
  <c r="E33" i="1"/>
  <c r="H33" i="1"/>
  <c r="AI7" i="1"/>
  <c r="AJ6" i="1"/>
  <c r="H31" i="5" l="1"/>
  <c r="E31" i="5"/>
  <c r="D32" i="5" s="1"/>
  <c r="AB5" i="7"/>
  <c r="AB7" i="7"/>
  <c r="AC6" i="7"/>
  <c r="H29" i="7"/>
  <c r="E24" i="6"/>
  <c r="D25" i="6" s="1"/>
  <c r="H24" i="6"/>
  <c r="E30" i="7"/>
  <c r="D31" i="7" s="1"/>
  <c r="AB7" i="6"/>
  <c r="AB5" i="6"/>
  <c r="AC6" i="6"/>
  <c r="AE6" i="5"/>
  <c r="AD7" i="5"/>
  <c r="AK6" i="1"/>
  <c r="AJ7" i="1"/>
  <c r="E32" i="5" l="1"/>
  <c r="D33" i="5" s="1"/>
  <c r="H32" i="5"/>
  <c r="H30" i="7"/>
  <c r="AD6" i="7"/>
  <c r="AC7" i="7"/>
  <c r="E25" i="6"/>
  <c r="D26" i="6" s="1"/>
  <c r="H25" i="6"/>
  <c r="E31" i="7"/>
  <c r="D32" i="7" s="1"/>
  <c r="AD6" i="6"/>
  <c r="AC7" i="6"/>
  <c r="AF6" i="5"/>
  <c r="AE7" i="5"/>
  <c r="AL6" i="1"/>
  <c r="AK7" i="1"/>
  <c r="E33" i="5" l="1"/>
  <c r="D34" i="5" s="1"/>
  <c r="H33" i="5"/>
  <c r="AE6" i="7"/>
  <c r="AD7" i="7"/>
  <c r="H31" i="7"/>
  <c r="H26" i="6"/>
  <c r="E26" i="6"/>
  <c r="D27" i="6" s="1"/>
  <c r="E32" i="7"/>
  <c r="D33" i="7" s="1"/>
  <c r="AD7" i="6"/>
  <c r="AE6" i="6"/>
  <c r="AG6" i="5"/>
  <c r="AF7" i="5"/>
  <c r="AM6" i="1"/>
  <c r="AL7" i="1"/>
  <c r="E34" i="5" l="1"/>
  <c r="D35" i="5" s="1"/>
  <c r="H34" i="5"/>
  <c r="AF6" i="7"/>
  <c r="AE7" i="7"/>
  <c r="E27" i="6"/>
  <c r="D28" i="6" s="1"/>
  <c r="H27" i="6"/>
  <c r="H32" i="7"/>
  <c r="E33" i="7"/>
  <c r="H33" i="7" s="1"/>
  <c r="AF6" i="6"/>
  <c r="AE7" i="6"/>
  <c r="AG7" i="5"/>
  <c r="AH6" i="5"/>
  <c r="AM7" i="1"/>
  <c r="AN6" i="1"/>
  <c r="E35" i="5" l="1"/>
  <c r="D36" i="5" s="1"/>
  <c r="H35" i="5"/>
  <c r="AG6" i="7"/>
  <c r="AF7" i="7"/>
  <c r="E28" i="6"/>
  <c r="D29" i="6" s="1"/>
  <c r="AG6" i="6"/>
  <c r="AF7" i="6"/>
  <c r="AH7" i="5"/>
  <c r="AI6" i="5"/>
  <c r="AN7" i="1"/>
  <c r="AO6" i="1"/>
  <c r="H36" i="5" l="1"/>
  <c r="E36" i="5"/>
  <c r="D37" i="5" s="1"/>
  <c r="H28" i="6"/>
  <c r="AG7" i="7"/>
  <c r="AH6" i="7"/>
  <c r="E29" i="6"/>
  <c r="D30" i="6" s="1"/>
  <c r="AH6" i="6"/>
  <c r="AG7" i="6"/>
  <c r="AI7" i="5"/>
  <c r="AI5" i="5"/>
  <c r="AJ6" i="5"/>
  <c r="AO7" i="1"/>
  <c r="AP6" i="1"/>
  <c r="AP5" i="1" s="1"/>
  <c r="H37" i="5" l="1"/>
  <c r="E37" i="5"/>
  <c r="D38" i="5" s="1"/>
  <c r="H29" i="6"/>
  <c r="AI6" i="7"/>
  <c r="AH7" i="7"/>
  <c r="H30" i="6"/>
  <c r="E30" i="6"/>
  <c r="D31" i="6" s="1"/>
  <c r="AI6" i="6"/>
  <c r="AH7" i="6"/>
  <c r="AK6" i="5"/>
  <c r="AJ7" i="5"/>
  <c r="AP7" i="1"/>
  <c r="AQ6" i="1"/>
  <c r="H38" i="5" l="1"/>
  <c r="E38" i="5"/>
  <c r="D39" i="5" s="1"/>
  <c r="AI5" i="7"/>
  <c r="AI7" i="7"/>
  <c r="AJ6" i="7"/>
  <c r="E31" i="6"/>
  <c r="D32" i="6" s="1"/>
  <c r="AI7" i="6"/>
  <c r="AI5" i="6"/>
  <c r="AJ6" i="6"/>
  <c r="AL6" i="5"/>
  <c r="AK7" i="5"/>
  <c r="AQ7" i="1"/>
  <c r="AR6" i="1"/>
  <c r="H39" i="5" l="1"/>
  <c r="E39" i="5"/>
  <c r="D40" i="5" s="1"/>
  <c r="H31" i="6"/>
  <c r="AJ7" i="7"/>
  <c r="AK6" i="7"/>
  <c r="E32" i="6"/>
  <c r="D33" i="6" s="1"/>
  <c r="H32" i="6"/>
  <c r="AJ7" i="6"/>
  <c r="AK6" i="6"/>
  <c r="AM6" i="5"/>
  <c r="AL7" i="5"/>
  <c r="AS6" i="1"/>
  <c r="AR7" i="1"/>
  <c r="E40" i="5" l="1"/>
  <c r="D41" i="5" s="1"/>
  <c r="H40" i="5"/>
  <c r="AL6" i="7"/>
  <c r="AK7" i="7"/>
  <c r="H33" i="6"/>
  <c r="E33" i="6"/>
  <c r="AL6" i="6"/>
  <c r="AK7" i="6"/>
  <c r="AN6" i="5"/>
  <c r="AM7" i="5"/>
  <c r="AT6" i="1"/>
  <c r="AS7" i="1"/>
  <c r="E41" i="5" l="1"/>
  <c r="D42" i="5" s="1"/>
  <c r="H41" i="5"/>
  <c r="AL7" i="7"/>
  <c r="AM6" i="7"/>
  <c r="AM6" i="6"/>
  <c r="AL7" i="6"/>
  <c r="AO6" i="5"/>
  <c r="AN7" i="5"/>
  <c r="AU6" i="1"/>
  <c r="AT7" i="1"/>
  <c r="E42" i="5" l="1"/>
  <c r="H42" i="5"/>
  <c r="AM7" i="7"/>
  <c r="AN6" i="7"/>
  <c r="AN6" i="6"/>
  <c r="AM7" i="6"/>
  <c r="AO7" i="5"/>
  <c r="AP6" i="5"/>
  <c r="AV6" i="1"/>
  <c r="AU7" i="1"/>
  <c r="AN7" i="7" l="1"/>
  <c r="AO6" i="7"/>
  <c r="AO6" i="6"/>
  <c r="AN7" i="6"/>
  <c r="AP7" i="5"/>
  <c r="AP5" i="5"/>
  <c r="AQ6" i="5"/>
  <c r="AW6" i="1"/>
  <c r="AW5" i="1" s="1"/>
  <c r="AV7" i="1"/>
  <c r="AO7" i="7" l="1"/>
  <c r="AP6" i="7"/>
  <c r="AP6" i="6"/>
  <c r="AO7" i="6"/>
  <c r="AQ7" i="5"/>
  <c r="AR6" i="5"/>
  <c r="AW7" i="1"/>
  <c r="AX6" i="1"/>
  <c r="AQ6" i="7" l="1"/>
  <c r="AP7" i="7"/>
  <c r="AP5" i="7"/>
  <c r="AP7" i="6"/>
  <c r="AP5" i="6"/>
  <c r="AQ6" i="6"/>
  <c r="AR7" i="5"/>
  <c r="AS6" i="5"/>
  <c r="AX7" i="1"/>
  <c r="AY6" i="1"/>
  <c r="AQ7" i="7" l="1"/>
  <c r="AR6" i="7"/>
  <c r="AR6" i="6"/>
  <c r="AQ7" i="6"/>
  <c r="AT6" i="5"/>
  <c r="AS7" i="5"/>
  <c r="AY7" i="1"/>
  <c r="AZ6" i="1"/>
  <c r="AS6" i="7" l="1"/>
  <c r="AR7" i="7"/>
  <c r="AR7" i="6"/>
  <c r="AS6" i="6"/>
  <c r="AU6" i="5"/>
  <c r="AT7" i="5"/>
  <c r="AZ7" i="1"/>
  <c r="BA6" i="1"/>
  <c r="AT6" i="7" l="1"/>
  <c r="AS7" i="7"/>
  <c r="AT6" i="6"/>
  <c r="AS7" i="6"/>
  <c r="AV6" i="5"/>
  <c r="AU7" i="5"/>
  <c r="BB6" i="1"/>
  <c r="BA7" i="1"/>
  <c r="AU6" i="7" l="1"/>
  <c r="AT7" i="7"/>
  <c r="AU6" i="6"/>
  <c r="AT7" i="6"/>
  <c r="AW6" i="5"/>
  <c r="AV7" i="5"/>
  <c r="BB7" i="1"/>
  <c r="BC6" i="1"/>
  <c r="AU7" i="7" l="1"/>
  <c r="AV6" i="7"/>
  <c r="AV6" i="6"/>
  <c r="AU7" i="6"/>
  <c r="AW5" i="5"/>
  <c r="AW7" i="5"/>
  <c r="AX6" i="5"/>
  <c r="BD6" i="1"/>
  <c r="BD5" i="1" s="1"/>
  <c r="BC7" i="1"/>
  <c r="AV7" i="7" l="1"/>
  <c r="AW6" i="7"/>
  <c r="AW6" i="6"/>
  <c r="AV7" i="6"/>
  <c r="AX7" i="5"/>
  <c r="AY6" i="5"/>
  <c r="BD7" i="1"/>
  <c r="BE6" i="1"/>
  <c r="AW7" i="7" l="1"/>
  <c r="AX6" i="7"/>
  <c r="AW5" i="7"/>
  <c r="AX6" i="6"/>
  <c r="AW5" i="6"/>
  <c r="AW7" i="6"/>
  <c r="AY7" i="5"/>
  <c r="AZ6" i="5"/>
  <c r="BE7" i="1"/>
  <c r="BF6" i="1"/>
  <c r="AY6" i="7" l="1"/>
  <c r="AX7" i="7"/>
  <c r="AX7" i="6"/>
  <c r="AY6" i="6"/>
  <c r="BA6" i="5"/>
  <c r="AZ7" i="5"/>
  <c r="BF7" i="1"/>
  <c r="BG6" i="1"/>
  <c r="AY7" i="7" l="1"/>
  <c r="AZ6" i="7"/>
  <c r="AY7" i="6"/>
  <c r="AZ6" i="6"/>
  <c r="BB6" i="5"/>
  <c r="BA7" i="5"/>
  <c r="BG7" i="1"/>
  <c r="BH6" i="1"/>
  <c r="BA6" i="7" l="1"/>
  <c r="AZ7" i="7"/>
  <c r="AZ7" i="6"/>
  <c r="BA6" i="6"/>
  <c r="BC6" i="5"/>
  <c r="BB7" i="5"/>
  <c r="BI6" i="1"/>
  <c r="BH7" i="1"/>
  <c r="BA7" i="7" l="1"/>
  <c r="BB6" i="7"/>
  <c r="BB6" i="6"/>
  <c r="BA7" i="6"/>
  <c r="BD6" i="5"/>
  <c r="BC7" i="5"/>
  <c r="BJ6" i="1"/>
  <c r="BI7" i="1"/>
  <c r="BC6" i="7" l="1"/>
  <c r="BB7" i="7"/>
  <c r="BC6" i="6"/>
  <c r="BB7" i="6"/>
  <c r="BE6" i="5"/>
  <c r="BD7" i="5"/>
  <c r="BD5" i="5"/>
  <c r="BK6" i="1"/>
  <c r="BK5" i="1" s="1"/>
  <c r="BJ7" i="1"/>
  <c r="BC7" i="7" l="1"/>
  <c r="BD6" i="7"/>
  <c r="BD6" i="6"/>
  <c r="BC7" i="6"/>
  <c r="BE7" i="5"/>
  <c r="BF6" i="5"/>
  <c r="BL6" i="1"/>
  <c r="BK7" i="1"/>
  <c r="BD7" i="7" l="1"/>
  <c r="BD5" i="7"/>
  <c r="BE6" i="7"/>
  <c r="BD5" i="6"/>
  <c r="BE6" i="6"/>
  <c r="BD7" i="6"/>
  <c r="BF7" i="5"/>
  <c r="BG6" i="5"/>
  <c r="BM6" i="1"/>
  <c r="BL7" i="1"/>
  <c r="BE7" i="7" l="1"/>
  <c r="BF6" i="7"/>
  <c r="BF6" i="6"/>
  <c r="BE7" i="6"/>
  <c r="BG7" i="5"/>
  <c r="BH6" i="5"/>
  <c r="BM7" i="1"/>
  <c r="BN6" i="1"/>
  <c r="BG6" i="7" l="1"/>
  <c r="BF7" i="7"/>
  <c r="BF7" i="6"/>
  <c r="BG6" i="6"/>
  <c r="BH7" i="5"/>
  <c r="BI6" i="5"/>
  <c r="BN7" i="1"/>
  <c r="BO6" i="1"/>
  <c r="BG7" i="7" l="1"/>
  <c r="BH6" i="7"/>
  <c r="BH6" i="6"/>
  <c r="BG7" i="6"/>
  <c r="BJ6" i="5"/>
  <c r="BI7" i="5"/>
  <c r="BO7" i="1"/>
  <c r="BP6" i="1"/>
  <c r="BI6" i="7" l="1"/>
  <c r="BH7" i="7"/>
  <c r="BH7" i="6"/>
  <c r="BI6" i="6"/>
  <c r="BK6" i="5"/>
  <c r="BJ7" i="5"/>
  <c r="BQ6" i="1"/>
  <c r="BP7" i="1"/>
  <c r="BJ6" i="7" l="1"/>
  <c r="BI7" i="7"/>
  <c r="BJ6" i="6"/>
  <c r="BI7" i="6"/>
  <c r="BK7" i="5"/>
  <c r="BL6" i="5"/>
  <c r="BK5" i="5"/>
  <c r="BR6" i="1"/>
  <c r="BR5" i="1" s="1"/>
  <c r="BQ7" i="1"/>
  <c r="BK6" i="7" l="1"/>
  <c r="BJ7" i="7"/>
  <c r="BK6" i="6"/>
  <c r="BJ7" i="6"/>
  <c r="BM6" i="5"/>
  <c r="BL7" i="5"/>
  <c r="BS6" i="1"/>
  <c r="BR7" i="1"/>
  <c r="BK7" i="7" l="1"/>
  <c r="BK5" i="7"/>
  <c r="BL6" i="7"/>
  <c r="BL6" i="6"/>
  <c r="BK5" i="6"/>
  <c r="BK7" i="6"/>
  <c r="BM7" i="5"/>
  <c r="BN6" i="5"/>
  <c r="BT6" i="1"/>
  <c r="BS7" i="1"/>
  <c r="BL7" i="7" l="1"/>
  <c r="BM6" i="7"/>
  <c r="BM6" i="6"/>
  <c r="BL7" i="6"/>
  <c r="BN7" i="5"/>
  <c r="BO6" i="5"/>
  <c r="BT7" i="1"/>
  <c r="BU6" i="1"/>
  <c r="BM7" i="7" l="1"/>
  <c r="BN6" i="7"/>
  <c r="BN6" i="6"/>
  <c r="BM7" i="6"/>
  <c r="BO7" i="5"/>
  <c r="BP6" i="5"/>
  <c r="BU7" i="1"/>
  <c r="BV6" i="1"/>
  <c r="BO6" i="7" l="1"/>
  <c r="BN7" i="7"/>
  <c r="BO6" i="6"/>
  <c r="BN7" i="6"/>
  <c r="BP7" i="5"/>
  <c r="BQ6" i="5"/>
  <c r="BV7" i="1"/>
  <c r="BW6" i="1"/>
  <c r="BO7" i="7" l="1"/>
  <c r="BP6" i="7"/>
  <c r="BO7" i="6"/>
  <c r="BP6" i="6"/>
  <c r="BR6" i="5"/>
  <c r="BQ7" i="5"/>
  <c r="BW7" i="1"/>
  <c r="BX6" i="1"/>
  <c r="BQ6" i="7" l="1"/>
  <c r="BP7" i="7"/>
  <c r="BP7" i="6"/>
  <c r="BQ6" i="6"/>
  <c r="BS6" i="5"/>
  <c r="BR7" i="5"/>
  <c r="BR5" i="5"/>
  <c r="BY6" i="1"/>
  <c r="BY5" i="1" s="1"/>
  <c r="BX7" i="1"/>
  <c r="BR6" i="7" l="1"/>
  <c r="BQ7" i="7"/>
  <c r="BQ7" i="6"/>
  <c r="BR6" i="6"/>
  <c r="BS7" i="5"/>
  <c r="BT6" i="5"/>
  <c r="BZ6" i="1"/>
  <c r="BY7" i="1"/>
  <c r="BS6" i="7" l="1"/>
  <c r="BR7" i="7"/>
  <c r="BR5" i="7"/>
  <c r="BS6" i="6"/>
  <c r="BR7" i="6"/>
  <c r="BR5" i="6"/>
  <c r="BU6" i="5"/>
  <c r="BT7" i="5"/>
  <c r="CA6" i="1"/>
  <c r="BZ7" i="1"/>
  <c r="BS7" i="7" l="1"/>
  <c r="BT6" i="7"/>
  <c r="BT6" i="6"/>
  <c r="BS7" i="6"/>
  <c r="BU7" i="5"/>
  <c r="BV6" i="5"/>
  <c r="CB6" i="1"/>
  <c r="CA7" i="1"/>
  <c r="BU6" i="7" l="1"/>
  <c r="BT7" i="7"/>
  <c r="BU6" i="6"/>
  <c r="BT7" i="6"/>
  <c r="BV7" i="5"/>
  <c r="BW6" i="5"/>
  <c r="CC6" i="1"/>
  <c r="CB7" i="1"/>
  <c r="BU7" i="7" l="1"/>
  <c r="BV6" i="7"/>
  <c r="BV6" i="6"/>
  <c r="BU7" i="6"/>
  <c r="BW7" i="5"/>
  <c r="BX6" i="5"/>
  <c r="CC7" i="1"/>
  <c r="CD6" i="1"/>
  <c r="BW6" i="7" l="1"/>
  <c r="BV7" i="7"/>
  <c r="BV7" i="6"/>
  <c r="BW6" i="6"/>
  <c r="BY6" i="5"/>
  <c r="BX7" i="5"/>
  <c r="CD7" i="1"/>
  <c r="CE6" i="1"/>
  <c r="BW7" i="7" l="1"/>
  <c r="BX6" i="7"/>
  <c r="BW7" i="6"/>
  <c r="BX6" i="6"/>
  <c r="BZ6" i="5"/>
  <c r="BY7" i="5"/>
  <c r="BY5" i="5"/>
  <c r="CE7" i="1"/>
  <c r="BY6" i="7" l="1"/>
  <c r="BX7" i="7"/>
  <c r="BX7" i="6"/>
  <c r="BY6" i="6"/>
  <c r="CA6" i="5"/>
  <c r="BZ7" i="5"/>
  <c r="BZ6" i="7" l="1"/>
  <c r="BY5" i="7"/>
  <c r="BY7" i="7"/>
  <c r="BZ6" i="6"/>
  <c r="BY7" i="6"/>
  <c r="BY5" i="6"/>
  <c r="CA7" i="5"/>
  <c r="CB6" i="5"/>
  <c r="CA6" i="7" l="1"/>
  <c r="BZ7" i="7"/>
  <c r="BZ7" i="6"/>
  <c r="CA6" i="6"/>
  <c r="CC6" i="5"/>
  <c r="CB7" i="5"/>
  <c r="CA7" i="7" l="1"/>
  <c r="CB6" i="7"/>
  <c r="CB6" i="6"/>
  <c r="CA7" i="6"/>
  <c r="CC7" i="5"/>
  <c r="CD6" i="5"/>
  <c r="CB7" i="7" l="1"/>
  <c r="CC6" i="7"/>
  <c r="CC6" i="6"/>
  <c r="CB7" i="6"/>
  <c r="CD7" i="5"/>
  <c r="CE6" i="5"/>
  <c r="CE7" i="5" s="1"/>
  <c r="CC7" i="7" l="1"/>
  <c r="CD6" i="7"/>
  <c r="CD6" i="6"/>
  <c r="CC7" i="6"/>
  <c r="CE6" i="7" l="1"/>
  <c r="CE7" i="7" s="1"/>
  <c r="CD7" i="7"/>
  <c r="CD7" i="6"/>
  <c r="CE6" i="6"/>
  <c r="CE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25066-7BB0-40F0-9D34-9983856AD08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<sst xmlns="http://schemas.openxmlformats.org/spreadsheetml/2006/main" count="1465" uniqueCount="96">
  <si>
    <t>Data</t>
  </si>
  <si>
    <t>Feriado</t>
  </si>
  <si>
    <t>Ano</t>
  </si>
  <si>
    <t>Carnaval</t>
  </si>
  <si>
    <t>INICIO</t>
  </si>
  <si>
    <t>FIM</t>
  </si>
  <si>
    <t>PROGRESSO</t>
  </si>
  <si>
    <t>DURAÇÃO</t>
  </si>
  <si>
    <t>Data Início</t>
  </si>
  <si>
    <t>Semana</t>
  </si>
  <si>
    <t>Confraternização Universal</t>
  </si>
  <si>
    <t>Tiradentes</t>
  </si>
  <si>
    <t>Dia do Trabalhador</t>
  </si>
  <si>
    <t>Finados</t>
  </si>
  <si>
    <t>Proclamação da República</t>
  </si>
  <si>
    <t>Natal</t>
  </si>
  <si>
    <t>Paixão de Cristo</t>
  </si>
  <si>
    <t>Páscoa</t>
  </si>
  <si>
    <t>Corpo de Cristo</t>
  </si>
  <si>
    <t>Independência</t>
  </si>
  <si>
    <t>Nossa Senhora Aparecida</t>
  </si>
  <si>
    <t>DIAS</t>
  </si>
  <si>
    <t>PLANEJADO</t>
  </si>
  <si>
    <t>EXECUTADO</t>
  </si>
  <si>
    <t>STATUS</t>
  </si>
  <si>
    <t>TAREFA</t>
  </si>
  <si>
    <t>JIRA</t>
  </si>
  <si>
    <t>DISCOVERY</t>
  </si>
  <si>
    <t>1. Refinamento do Requisito</t>
  </si>
  <si>
    <t>2. Solução Macro</t>
  </si>
  <si>
    <t>3. Refinamento técnico e Funcional</t>
  </si>
  <si>
    <t>3.1 Refinamento Solução (M)</t>
  </si>
  <si>
    <t>3.1.1 Atualização Wireframe</t>
  </si>
  <si>
    <t>3.1.2 Aprovação história funcional</t>
  </si>
  <si>
    <t>3.1.3 Desenho C2 / Swagger e Data Mapping</t>
  </si>
  <si>
    <t xml:space="preserve">3.1.4 Painel de Arquitetura </t>
  </si>
  <si>
    <t>3.1.5 COE Integração</t>
  </si>
  <si>
    <t>DELIVERY</t>
  </si>
  <si>
    <t>SDK</t>
  </si>
  <si>
    <t>Entrega</t>
  </si>
  <si>
    <t>DESENVOLVIMENTO</t>
  </si>
  <si>
    <t>DEV FRONT</t>
  </si>
  <si>
    <t>Alocação time</t>
  </si>
  <si>
    <t>Kickoff</t>
  </si>
  <si>
    <t>Desenvolvimento</t>
  </si>
  <si>
    <t>DEV BACK</t>
  </si>
  <si>
    <t>ANALYTICS</t>
  </si>
  <si>
    <t>5. QA</t>
  </si>
  <si>
    <t>5.1 QA - Teste Funcional</t>
  </si>
  <si>
    <t xml:space="preserve">5.2 HOM Negócios </t>
  </si>
  <si>
    <t>6. Rollout</t>
  </si>
  <si>
    <t>a</t>
  </si>
  <si>
    <t>q</t>
  </si>
  <si>
    <t>x</t>
  </si>
  <si>
    <r>
      <rPr>
        <b/>
        <sz val="12"/>
        <color theme="3" tint="0.499984740745262"/>
        <rFont val="Webdings"/>
        <family val="1"/>
        <charset val="2"/>
      </rPr>
      <t>q</t>
    </r>
    <r>
      <rPr>
        <b/>
        <sz val="9"/>
        <color rgb="FFFFFFFF"/>
        <rFont val="Calibri"/>
        <family val="2"/>
      </rPr>
      <t xml:space="preserve"> (q) </t>
    </r>
    <r>
      <rPr>
        <b/>
        <sz val="9"/>
        <color theme="0" tint="-0.499984740745262"/>
        <rFont val="Calibri"/>
        <family val="2"/>
      </rPr>
      <t>Em andamento</t>
    </r>
  </si>
  <si>
    <r>
      <rPr>
        <b/>
        <sz val="14"/>
        <color theme="9"/>
        <rFont val="Webdings"/>
        <family val="1"/>
        <charset val="2"/>
      </rPr>
      <t>a</t>
    </r>
    <r>
      <rPr>
        <b/>
        <sz val="9"/>
        <color rgb="FFFFFFFF"/>
        <rFont val="Calibri"/>
        <family val="2"/>
      </rPr>
      <t xml:space="preserve"> (a) </t>
    </r>
    <r>
      <rPr>
        <b/>
        <sz val="9"/>
        <color theme="0" tint="-0.499984740745262"/>
        <rFont val="Calibri"/>
        <family val="2"/>
      </rPr>
      <t>Concluído</t>
    </r>
  </si>
  <si>
    <r>
      <rPr>
        <b/>
        <sz val="14"/>
        <color rgb="FFAEAAAA"/>
        <rFont val="Webdings"/>
        <family val="1"/>
        <charset val="2"/>
      </rPr>
      <t>;</t>
    </r>
    <r>
      <rPr>
        <b/>
        <sz val="9"/>
        <color rgb="FFFFFFFF"/>
        <rFont val="Calibri"/>
        <family val="2"/>
      </rPr>
      <t xml:space="preserve"> (;) </t>
    </r>
    <r>
      <rPr>
        <b/>
        <sz val="9"/>
        <color theme="0" tint="-0.499984740745262"/>
        <rFont val="Calibri"/>
        <family val="2"/>
      </rPr>
      <t>Pendente</t>
    </r>
  </si>
  <si>
    <r>
      <rPr>
        <b/>
        <sz val="11"/>
        <color rgb="FFFFC000"/>
        <rFont val="Webdings"/>
        <family val="1"/>
        <charset val="2"/>
      </rPr>
      <t>i</t>
    </r>
    <r>
      <rPr>
        <b/>
        <sz val="9"/>
        <color rgb="FFFFFFFF"/>
        <rFont val="Calibri"/>
        <family val="2"/>
      </rPr>
      <t xml:space="preserve"> (i) </t>
    </r>
    <r>
      <rPr>
        <b/>
        <sz val="9"/>
        <color theme="0" tint="-0.499984740745262"/>
        <rFont val="Calibri"/>
        <family val="2"/>
      </rPr>
      <t>Ponto Atenção</t>
    </r>
  </si>
  <si>
    <r>
      <rPr>
        <b/>
        <sz val="11"/>
        <color rgb="FFFF0000"/>
        <rFont val="Webdings"/>
        <family val="1"/>
        <charset val="2"/>
      </rPr>
      <t>x</t>
    </r>
    <r>
      <rPr>
        <b/>
        <sz val="9"/>
        <color rgb="FFFFFFFF"/>
        <rFont val="Calibri"/>
        <family val="2"/>
      </rPr>
      <t xml:space="preserve"> (x) </t>
    </r>
    <r>
      <rPr>
        <b/>
        <sz val="9"/>
        <color theme="0" tint="-0.499984740745262"/>
        <rFont val="Calibri"/>
        <family val="2"/>
      </rPr>
      <t>Bloqueado</t>
    </r>
  </si>
  <si>
    <r>
      <rPr>
        <b/>
        <sz val="11"/>
        <color theme="4" tint="0.79998168889431442"/>
        <rFont val="Webdings"/>
        <family val="1"/>
        <charset val="2"/>
      </rPr>
      <t>r</t>
    </r>
    <r>
      <rPr>
        <b/>
        <sz val="9"/>
        <color rgb="FFFFFFFF"/>
        <rFont val="Calibri"/>
        <family val="2"/>
      </rPr>
      <t xml:space="preserve"> (r) </t>
    </r>
    <r>
      <rPr>
        <b/>
        <sz val="9"/>
        <color theme="0" tint="-0.499984740745262"/>
        <rFont val="Calibri"/>
        <family val="2"/>
      </rPr>
      <t>Cancelado</t>
    </r>
  </si>
  <si>
    <t>PROJETO FORGIA</t>
  </si>
  <si>
    <t>Dashboard gestão de contratos com objetivo de gerar saving financeiro e operacional em renovações e aditivos</t>
  </si>
  <si>
    <t>Solicitante: Jurídico</t>
  </si>
  <si>
    <t>Escopo da demanda 2 de IA</t>
  </si>
  <si>
    <t>Escopo da Demanda 3 de IA</t>
  </si>
  <si>
    <t>Escopo da demanda 4 de IA</t>
  </si>
  <si>
    <t>Solicitante: B2B</t>
  </si>
  <si>
    <t>Solicitante: Tributário</t>
  </si>
  <si>
    <t>Benefício: R$ 5.000.000,00</t>
  </si>
  <si>
    <t>Benefício: R$ 4.200.000,00</t>
  </si>
  <si>
    <t>Benefício: NA</t>
  </si>
  <si>
    <t>Benefício: R$ 151.000,00</t>
  </si>
  <si>
    <t>DESC</t>
  </si>
  <si>
    <t>ETAPA</t>
  </si>
  <si>
    <t>Mapeamento</t>
  </si>
  <si>
    <t>SUB-ETAPA</t>
  </si>
  <si>
    <t>Solução</t>
  </si>
  <si>
    <t>SP0</t>
  </si>
  <si>
    <t>TESTES</t>
  </si>
  <si>
    <t>Tecnologia: IA</t>
  </si>
  <si>
    <t>Tecnologia: APA</t>
  </si>
  <si>
    <t>Tecnologia: RPA</t>
  </si>
  <si>
    <t>Fabrica</t>
  </si>
  <si>
    <t>Interno</t>
  </si>
  <si>
    <t>Hebert</t>
  </si>
  <si>
    <t>Sandra</t>
  </si>
  <si>
    <t>Rodrigo P.</t>
  </si>
  <si>
    <t>Fabrica:</t>
  </si>
  <si>
    <t>Minsait</t>
  </si>
  <si>
    <t xml:space="preserve">Fabrica: </t>
  </si>
  <si>
    <t>Squad:</t>
  </si>
  <si>
    <t>Trib2</t>
  </si>
  <si>
    <t>Trib3</t>
  </si>
  <si>
    <t>Arq</t>
  </si>
  <si>
    <t>AF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</si>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</sst>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dd"/>
    <numFmt numFmtId="166" formatCode="[$-416]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9"/>
      <color rgb="FFAEAAAA"/>
      <name val="Webdings"/>
      <family val="1"/>
      <charset val="2"/>
    </font>
    <font>
      <b/>
      <sz val="12"/>
      <color theme="3" tint="0.499984740745262"/>
      <name val="Webdings"/>
      <family val="1"/>
      <charset val="2"/>
    </font>
    <font>
      <b/>
      <sz val="12"/>
      <color theme="9"/>
      <name val="Webdings"/>
      <family val="1"/>
      <charset val="2"/>
    </font>
    <font>
      <sz val="11"/>
      <color theme="1"/>
      <name val="Webdings"/>
      <family val="1"/>
      <charset val="2"/>
    </font>
    <font>
      <b/>
      <sz val="11"/>
      <color rgb="FF0070C0"/>
      <name val="Webdings"/>
      <family val="1"/>
      <charset val="2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11"/>
      <color theme="4" tint="0.79998168889431442"/>
      <name val="Webdings"/>
      <family val="1"/>
      <charset val="2"/>
    </font>
    <font>
      <b/>
      <sz val="11"/>
      <color rgb="FFFF0000"/>
      <name val="Webdings"/>
      <family val="1"/>
      <charset val="2"/>
    </font>
    <font>
      <b/>
      <sz val="11"/>
      <color rgb="FFFFC000"/>
      <name val="Webdings"/>
      <family val="1"/>
      <charset val="2"/>
    </font>
    <font>
      <b/>
      <sz val="14"/>
      <color theme="9"/>
      <name val="Webdings"/>
      <family val="1"/>
      <charset val="2"/>
    </font>
    <font>
      <b/>
      <sz val="14"/>
      <color rgb="FFAEAAAA"/>
      <name val="Webdings"/>
      <family val="1"/>
      <charset val="2"/>
    </font>
    <font>
      <b/>
      <sz val="9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sz val="10"/>
      <color theme="0" tint="-0.499984740745262"/>
      <name val="Calibri Light"/>
      <family val="2"/>
      <scheme val="maj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7B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0" fillId="0" borderId="1" xfId="0" applyNumberForma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3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5" xfId="0" applyBorder="1"/>
    <xf numFmtId="166" fontId="0" fillId="0" borderId="2" xfId="0" applyNumberFormat="1" applyBorder="1" applyAlignment="1">
      <alignment horizontal="centerContinuous"/>
    </xf>
    <xf numFmtId="165" fontId="0" fillId="0" borderId="6" xfId="0" applyNumberFormat="1" applyBorder="1"/>
    <xf numFmtId="165" fontId="0" fillId="0" borderId="7" xfId="0" applyNumberFormat="1" applyBorder="1"/>
    <xf numFmtId="165" fontId="0" fillId="0" borderId="6" xfId="0" applyNumberFormat="1" applyBorder="1" applyAlignment="1">
      <alignment horizontal="center"/>
    </xf>
    <xf numFmtId="9" fontId="0" fillId="0" borderId="5" xfId="2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9" fontId="0" fillId="0" borderId="4" xfId="2" applyFont="1" applyBorder="1" applyAlignment="1">
      <alignment horizontal="center"/>
    </xf>
    <xf numFmtId="0" fontId="3" fillId="2" borderId="0" xfId="0" applyFont="1" applyFill="1" applyAlignment="1">
      <alignment horizontal="centerContinuous" vertical="center"/>
    </xf>
    <xf numFmtId="17" fontId="0" fillId="0" borderId="5" xfId="0" applyNumberFormat="1" applyBorder="1"/>
    <xf numFmtId="17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2" fillId="0" borderId="5" xfId="0" applyFont="1" applyBorder="1"/>
    <xf numFmtId="164" fontId="0" fillId="0" borderId="4" xfId="0" applyNumberFormat="1" applyBorder="1" applyAlignment="1">
      <alignment vertical="center"/>
    </xf>
    <xf numFmtId="0" fontId="3" fillId="4" borderId="0" xfId="0" applyFont="1" applyFill="1" applyAlignment="1">
      <alignment horizontal="centerContinuous" vertical="center"/>
    </xf>
    <xf numFmtId="17" fontId="5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44" fontId="11" fillId="0" borderId="4" xfId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44" fontId="10" fillId="0" borderId="4" xfId="1" applyFont="1" applyBorder="1" applyAlignment="1">
      <alignment horizontal="center"/>
    </xf>
    <xf numFmtId="44" fontId="12" fillId="0" borderId="4" xfId="1" applyFont="1" applyBorder="1" applyAlignment="1">
      <alignment horizontal="center"/>
    </xf>
    <xf numFmtId="44" fontId="16" fillId="0" borderId="4" xfId="1" applyFont="1" applyBorder="1" applyAlignment="1">
      <alignment horizontal="center"/>
    </xf>
    <xf numFmtId="0" fontId="7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right" vertical="center"/>
    </xf>
    <xf numFmtId="17" fontId="2" fillId="5" borderId="0" xfId="0" applyNumberFormat="1" applyFont="1" applyFill="1" applyAlignment="1">
      <alignment horizontal="right"/>
    </xf>
    <xf numFmtId="0" fontId="3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vertical="center"/>
    </xf>
    <xf numFmtId="0" fontId="14" fillId="5" borderId="0" xfId="0" applyFont="1" applyFill="1"/>
    <xf numFmtId="44" fontId="6" fillId="5" borderId="8" xfId="1" applyFont="1" applyFill="1" applyBorder="1" applyAlignment="1">
      <alignment vertical="top"/>
    </xf>
    <xf numFmtId="44" fontId="0" fillId="5" borderId="0" xfId="0" applyNumberFormat="1" applyFill="1"/>
    <xf numFmtId="164" fontId="21" fillId="5" borderId="0" xfId="0" applyNumberFormat="1" applyFont="1" applyFill="1"/>
    <xf numFmtId="0" fontId="21" fillId="5" borderId="0" xfId="0" applyFont="1" applyFill="1"/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left"/>
    </xf>
    <xf numFmtId="0" fontId="24" fillId="5" borderId="0" xfId="0" applyFont="1" applyFill="1"/>
    <xf numFmtId="0" fontId="23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colors>
    <mruColors>
      <color rgb="FFC57BD7"/>
      <color rgb="FFF6D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Scroll" dx="31" fmlaLink="$M$2" horiz="1" max="100" page="0"/>
</file>

<file path=xl/ctrlProps/ctrlProp2.xml><?xml version="1.0" encoding="utf-8"?>
<formControlPr xmlns="http://schemas.microsoft.com/office/spreadsheetml/2009/9/main" objectType="Scroll" dx="31" fmlaLink="$M$2" horiz="1" max="100" page="0"/>
</file>

<file path=xl/ctrlProps/ctrlProp3.xml><?xml version="1.0" encoding="utf-8"?>
<formControlPr xmlns="http://schemas.microsoft.com/office/spreadsheetml/2009/9/main" objectType="Scroll" dx="31" fmlaLink="$M$2" horiz="1" max="100" page="0"/>
</file>

<file path=xl/ctrlProps/ctrlProp4.xml><?xml version="1.0" encoding="utf-8"?>
<formControlPr xmlns="http://schemas.microsoft.com/office/spreadsheetml/2009/9/main" objectType="Scroll" dx="31" fmlaLink="$M$2" horiz="1" max="100" page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57150</xdr:rowOff>
        </xdr:to>
        <xdr:sp macro="" textlink="">
          <xdr:nvSpPr>
            <xdr:cNvPr id="2050" name="Scroll Ba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34893</xdr:rowOff>
    </xdr:from>
    <xdr:to>
      <xdr:col>1</xdr:col>
      <xdr:colOff>189387</xdr:colOff>
      <xdr:row>1</xdr:row>
      <xdr:rowOff>222807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5916" y="34893"/>
          <a:ext cx="708208" cy="355019"/>
          <a:chOff x="191994" y="170602"/>
          <a:chExt cx="1342479" cy="713549"/>
        </a:xfrm>
      </xdr:grpSpPr>
      <xdr:pic>
        <xdr:nvPicPr>
          <xdr:cNvPr id="3" name="Imagem 2" descr="Vivo (VIVT4): empresa quer migrar da telefonia para a tecnologia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57150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34892</xdr:rowOff>
    </xdr:from>
    <xdr:to>
      <xdr:col>1</xdr:col>
      <xdr:colOff>434475</xdr:colOff>
      <xdr:row>2</xdr:row>
      <xdr:rowOff>55701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5916" y="34892"/>
          <a:ext cx="953296" cy="455283"/>
          <a:chOff x="191994" y="170602"/>
          <a:chExt cx="1342479" cy="713549"/>
        </a:xfrm>
      </xdr:grpSpPr>
      <xdr:pic>
        <xdr:nvPicPr>
          <xdr:cNvPr id="4" name="Imagem 3" descr="Vivo (VIVT4): empresa quer migrar da telefonia para a tecnologia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57150</xdr:rowOff>
        </xdr:to>
        <xdr:sp macro="" textlink="">
          <xdr:nvSpPr>
            <xdr:cNvPr id="6145" name="Scroll Ba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15915</xdr:colOff>
      <xdr:row>0</xdr:row>
      <xdr:rowOff>34893</xdr:rowOff>
    </xdr:from>
    <xdr:to>
      <xdr:col>1</xdr:col>
      <xdr:colOff>289649</xdr:colOff>
      <xdr:row>2</xdr:row>
      <xdr:rowOff>11141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5915" y="34893"/>
          <a:ext cx="808471" cy="410722"/>
          <a:chOff x="191994" y="170602"/>
          <a:chExt cx="1342479" cy="713549"/>
        </a:xfrm>
      </xdr:grpSpPr>
      <xdr:pic>
        <xdr:nvPicPr>
          <xdr:cNvPr id="4" name="Imagem 3" descr="Vivo (VIVT4): empresa quer migrar da telefonia para a tecnologia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57150</xdr:rowOff>
        </xdr:to>
        <xdr:sp macro="" textlink="">
          <xdr:nvSpPr>
            <xdr:cNvPr id="5121" name="Scroll Ba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15915</xdr:colOff>
      <xdr:row>0</xdr:row>
      <xdr:rowOff>34893</xdr:rowOff>
    </xdr:from>
    <xdr:to>
      <xdr:col>1</xdr:col>
      <xdr:colOff>356491</xdr:colOff>
      <xdr:row>1</xdr:row>
      <xdr:rowOff>222808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5915" y="34893"/>
          <a:ext cx="882972" cy="359894"/>
          <a:chOff x="191994" y="170602"/>
          <a:chExt cx="1342479" cy="713549"/>
        </a:xfrm>
      </xdr:grpSpPr>
      <xdr:pic>
        <xdr:nvPicPr>
          <xdr:cNvPr id="4" name="Imagem 3" descr="Vivo (VIVT4): empresa quer migrar da telefonia para a tecnologia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5D89-D108-40FA-8702-A3E057EA69AD}">
  <dimension ref="A1:CF47"/>
  <sheetViews>
    <sheetView showGridLines="0" zoomScale="57" zoomScaleNormal="57" workbookViewId="0">
      <selection activeCell="I2" sqref="I2:I4"/>
    </sheetView>
  </sheetViews>
  <sheetFormatPr defaultRowHeight="14.5" outlineLevelCol="1" x14ac:dyDescent="0.35"/>
  <cols>
    <col min="1" max="1" width="7.7265625" style="41" bestFit="1" customWidth="1"/>
    <col min="2" max="2" width="15.2695312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5" customFormat="1" ht="13.5" customHeight="1" x14ac:dyDescent="0.35">
      <c r="A1" s="40"/>
      <c r="B1" s="44"/>
      <c r="C1" s="53"/>
      <c r="D1" s="44"/>
      <c r="E1" s="47" t="s">
        <v>54</v>
      </c>
      <c r="F1" s="48"/>
      <c r="G1" s="47" t="s">
        <v>57</v>
      </c>
      <c r="I1" s="54" t="s">
        <v>90</v>
      </c>
      <c r="J1" s="54" t="s">
        <v>91</v>
      </c>
      <c r="L1" s="52" t="s">
        <v>8</v>
      </c>
      <c r="M1" s="51">
        <v>45973</v>
      </c>
      <c r="N1" s="46"/>
    </row>
    <row r="2" spans="1:84" s="45" customFormat="1" ht="21" x14ac:dyDescent="0.5">
      <c r="A2" s="40"/>
      <c r="B2" s="44"/>
      <c r="C2" s="57" t="s">
        <v>60</v>
      </c>
      <c r="D2" s="57"/>
      <c r="E2" s="47" t="s">
        <v>55</v>
      </c>
      <c r="F2" s="48"/>
      <c r="G2" s="47" t="s">
        <v>58</v>
      </c>
      <c r="I2" s="45" t="s">
        <v>93</v>
      </c>
      <c r="J2" s="54" t="s">
        <v>84</v>
      </c>
      <c r="L2" s="52" t="s">
        <v>9</v>
      </c>
      <c r="M2" s="52">
        <v>1</v>
      </c>
      <c r="N2" s="46"/>
    </row>
    <row r="3" spans="1:84" s="45" customFormat="1" ht="18" x14ac:dyDescent="0.35">
      <c r="A3" s="54" t="s">
        <v>79</v>
      </c>
      <c r="B3" s="44"/>
      <c r="C3" s="56" t="s">
        <v>61</v>
      </c>
      <c r="D3" s="56"/>
      <c r="E3" s="47" t="s">
        <v>56</v>
      </c>
      <c r="F3" s="48"/>
      <c r="G3" s="47" t="s">
        <v>59</v>
      </c>
      <c r="I3" s="45" t="s">
        <v>94</v>
      </c>
      <c r="J3" s="54" t="s">
        <v>85</v>
      </c>
      <c r="M3" s="52"/>
      <c r="N3" s="46"/>
    </row>
    <row r="4" spans="1:84" s="45" customFormat="1" x14ac:dyDescent="0.35">
      <c r="A4" s="54" t="s">
        <v>82</v>
      </c>
      <c r="B4" s="55" t="s">
        <v>83</v>
      </c>
      <c r="C4" s="56"/>
      <c r="D4" s="56"/>
      <c r="E4" s="47"/>
      <c r="F4" s="48"/>
      <c r="G4" s="47"/>
      <c r="I4" s="45" t="s">
        <v>95</v>
      </c>
      <c r="J4" s="54" t="s">
        <v>86</v>
      </c>
      <c r="M4" s="52"/>
      <c r="N4" s="46"/>
    </row>
    <row r="5" spans="1:84" ht="21.5" customHeight="1" x14ac:dyDescent="0.35">
      <c r="A5" s="54" t="s">
        <v>62</v>
      </c>
      <c r="B5" s="53"/>
      <c r="C5" s="56"/>
      <c r="D5" s="56"/>
      <c r="E5" s="49"/>
      <c r="F5" s="45"/>
      <c r="G5" s="50"/>
      <c r="H5" s="45"/>
      <c r="I5" s="45"/>
      <c r="J5" s="45"/>
      <c r="K5" s="45"/>
      <c r="L5" s="45"/>
      <c r="M5" s="45"/>
      <c r="N5" s="7">
        <f>N6</f>
        <v>45977</v>
      </c>
      <c r="O5" s="8"/>
      <c r="P5" s="8"/>
      <c r="Q5" s="8"/>
      <c r="R5" s="8"/>
      <c r="S5" s="8"/>
      <c r="T5" s="9"/>
      <c r="U5" s="7">
        <f>U6</f>
        <v>45984</v>
      </c>
      <c r="V5" s="8"/>
      <c r="W5" s="8"/>
      <c r="X5" s="8"/>
      <c r="Y5" s="8"/>
      <c r="Z5" s="8"/>
      <c r="AA5" s="9"/>
      <c r="AB5" s="17">
        <f>AB6</f>
        <v>45991</v>
      </c>
      <c r="AC5" s="8"/>
      <c r="AD5" s="8"/>
      <c r="AE5" s="8"/>
      <c r="AF5" s="8"/>
      <c r="AG5" s="8"/>
      <c r="AH5" s="8"/>
      <c r="AI5" s="7">
        <f>AI6</f>
        <v>45998</v>
      </c>
      <c r="AJ5" s="8"/>
      <c r="AK5" s="8"/>
      <c r="AL5" s="8"/>
      <c r="AM5" s="8"/>
      <c r="AN5" s="8"/>
      <c r="AO5" s="9"/>
      <c r="AP5" s="17">
        <f>AP6</f>
        <v>46005</v>
      </c>
      <c r="AQ5" s="8"/>
      <c r="AR5" s="8"/>
      <c r="AS5" s="8"/>
      <c r="AT5" s="8"/>
      <c r="AU5" s="8"/>
      <c r="AV5" s="8"/>
      <c r="AW5" s="7">
        <f>AW6</f>
        <v>46012</v>
      </c>
      <c r="AX5" s="8"/>
      <c r="AY5" s="8"/>
      <c r="AZ5" s="8"/>
      <c r="BA5" s="8"/>
      <c r="BB5" s="8"/>
      <c r="BC5" s="9"/>
      <c r="BD5" s="17">
        <f>BD6</f>
        <v>46019</v>
      </c>
      <c r="BE5" s="8"/>
      <c r="BF5" s="8"/>
      <c r="BG5" s="8"/>
      <c r="BH5" s="8"/>
      <c r="BI5" s="8"/>
      <c r="BJ5" s="8"/>
      <c r="BK5" s="7">
        <f>BK6</f>
        <v>46026</v>
      </c>
      <c r="BL5" s="8"/>
      <c r="BM5" s="8"/>
      <c r="BN5" s="8"/>
      <c r="BO5" s="8"/>
      <c r="BP5" s="8"/>
      <c r="BQ5" s="9"/>
      <c r="BR5" s="17">
        <f>BR6</f>
        <v>46033</v>
      </c>
      <c r="BS5" s="8"/>
      <c r="BT5" s="8"/>
      <c r="BU5" s="8"/>
      <c r="BV5" s="8"/>
      <c r="BW5" s="8"/>
      <c r="BX5" s="8"/>
      <c r="BY5" s="7">
        <f>BY6</f>
        <v>46040</v>
      </c>
      <c r="BZ5" s="8"/>
      <c r="CA5" s="8"/>
      <c r="CB5" s="8"/>
      <c r="CC5" s="8"/>
      <c r="CD5" s="8"/>
      <c r="CE5" s="9"/>
    </row>
    <row r="6" spans="1:84" x14ac:dyDescent="0.35">
      <c r="A6" s="54" t="s">
        <v>69</v>
      </c>
      <c r="B6" s="53"/>
      <c r="C6" s="53"/>
      <c r="D6" s="32" t="s">
        <v>22</v>
      </c>
      <c r="E6" s="32"/>
      <c r="F6" s="32"/>
      <c r="G6" s="32"/>
      <c r="H6" s="33"/>
      <c r="I6" s="25" t="s">
        <v>23</v>
      </c>
      <c r="J6" s="25"/>
      <c r="K6" s="25"/>
      <c r="L6" s="25"/>
      <c r="M6" s="25"/>
      <c r="N6" s="20">
        <f>$M$1+7*M2-WEEKDAY($M$1,2)</f>
        <v>45977</v>
      </c>
      <c r="O6" s="2">
        <f>N6+1</f>
        <v>45978</v>
      </c>
      <c r="P6" s="2">
        <f t="shared" ref="P6:V6" si="0">O6+1</f>
        <v>45979</v>
      </c>
      <c r="Q6" s="2">
        <f t="shared" si="0"/>
        <v>45980</v>
      </c>
      <c r="R6" s="2">
        <f t="shared" si="0"/>
        <v>45981</v>
      </c>
      <c r="S6" s="2">
        <f t="shared" si="0"/>
        <v>45982</v>
      </c>
      <c r="T6" s="19">
        <f t="shared" si="0"/>
        <v>45983</v>
      </c>
      <c r="U6" s="18">
        <f t="shared" si="0"/>
        <v>45984</v>
      </c>
      <c r="V6" s="2">
        <f t="shared" si="0"/>
        <v>45985</v>
      </c>
      <c r="W6" s="2">
        <f t="shared" ref="W6:CE6" si="1">V6+1</f>
        <v>45986</v>
      </c>
      <c r="X6" s="2">
        <f t="shared" si="1"/>
        <v>45987</v>
      </c>
      <c r="Y6" s="2">
        <f t="shared" si="1"/>
        <v>45988</v>
      </c>
      <c r="Z6" s="2">
        <f t="shared" si="1"/>
        <v>45989</v>
      </c>
      <c r="AA6" s="19">
        <f t="shared" si="1"/>
        <v>45990</v>
      </c>
      <c r="AB6" s="2">
        <f t="shared" si="1"/>
        <v>45991</v>
      </c>
      <c r="AC6" s="2">
        <f t="shared" si="1"/>
        <v>45992</v>
      </c>
      <c r="AD6" s="2">
        <f t="shared" si="1"/>
        <v>45993</v>
      </c>
      <c r="AE6" s="2">
        <f t="shared" si="1"/>
        <v>45994</v>
      </c>
      <c r="AF6" s="2">
        <f t="shared" si="1"/>
        <v>45995</v>
      </c>
      <c r="AG6" s="2">
        <f t="shared" si="1"/>
        <v>45996</v>
      </c>
      <c r="AH6" s="2">
        <f t="shared" si="1"/>
        <v>45997</v>
      </c>
      <c r="AI6" s="18">
        <f t="shared" si="1"/>
        <v>45998</v>
      </c>
      <c r="AJ6" s="2">
        <f t="shared" si="1"/>
        <v>45999</v>
      </c>
      <c r="AK6" s="2">
        <f t="shared" si="1"/>
        <v>46000</v>
      </c>
      <c r="AL6" s="2">
        <f t="shared" si="1"/>
        <v>46001</v>
      </c>
      <c r="AM6" s="2">
        <f t="shared" si="1"/>
        <v>46002</v>
      </c>
      <c r="AN6" s="2">
        <f t="shared" si="1"/>
        <v>46003</v>
      </c>
      <c r="AO6" s="19">
        <f t="shared" si="1"/>
        <v>46004</v>
      </c>
      <c r="AP6" s="2">
        <f t="shared" si="1"/>
        <v>46005</v>
      </c>
      <c r="AQ6" s="2">
        <f t="shared" si="1"/>
        <v>46006</v>
      </c>
      <c r="AR6" s="2">
        <f t="shared" si="1"/>
        <v>46007</v>
      </c>
      <c r="AS6" s="2">
        <f t="shared" si="1"/>
        <v>46008</v>
      </c>
      <c r="AT6" s="2">
        <f t="shared" si="1"/>
        <v>46009</v>
      </c>
      <c r="AU6" s="2">
        <f t="shared" si="1"/>
        <v>46010</v>
      </c>
      <c r="AV6" s="2">
        <f t="shared" si="1"/>
        <v>46011</v>
      </c>
      <c r="AW6" s="18">
        <f t="shared" si="1"/>
        <v>46012</v>
      </c>
      <c r="AX6" s="2">
        <f t="shared" si="1"/>
        <v>46013</v>
      </c>
      <c r="AY6" s="2">
        <f t="shared" si="1"/>
        <v>46014</v>
      </c>
      <c r="AZ6" s="2">
        <f t="shared" si="1"/>
        <v>46015</v>
      </c>
      <c r="BA6" s="2">
        <f t="shared" si="1"/>
        <v>46016</v>
      </c>
      <c r="BB6" s="2">
        <f t="shared" si="1"/>
        <v>46017</v>
      </c>
      <c r="BC6" s="19">
        <f t="shared" si="1"/>
        <v>46018</v>
      </c>
      <c r="BD6" s="2">
        <f t="shared" si="1"/>
        <v>46019</v>
      </c>
      <c r="BE6" s="2">
        <f t="shared" si="1"/>
        <v>46020</v>
      </c>
      <c r="BF6" s="2">
        <f t="shared" si="1"/>
        <v>46021</v>
      </c>
      <c r="BG6" s="2">
        <f t="shared" si="1"/>
        <v>46022</v>
      </c>
      <c r="BH6" s="2">
        <f t="shared" si="1"/>
        <v>46023</v>
      </c>
      <c r="BI6" s="2">
        <f t="shared" si="1"/>
        <v>46024</v>
      </c>
      <c r="BJ6" s="2">
        <f t="shared" si="1"/>
        <v>46025</v>
      </c>
      <c r="BK6" s="18">
        <f t="shared" si="1"/>
        <v>46026</v>
      </c>
      <c r="BL6" s="2">
        <f t="shared" si="1"/>
        <v>46027</v>
      </c>
      <c r="BM6" s="2">
        <f t="shared" si="1"/>
        <v>46028</v>
      </c>
      <c r="BN6" s="2">
        <f t="shared" si="1"/>
        <v>46029</v>
      </c>
      <c r="BO6" s="2">
        <f t="shared" si="1"/>
        <v>46030</v>
      </c>
      <c r="BP6" s="2">
        <f t="shared" si="1"/>
        <v>46031</v>
      </c>
      <c r="BQ6" s="19">
        <f t="shared" si="1"/>
        <v>46032</v>
      </c>
      <c r="BR6" s="2">
        <f t="shared" si="1"/>
        <v>46033</v>
      </c>
      <c r="BS6" s="2">
        <f t="shared" si="1"/>
        <v>46034</v>
      </c>
      <c r="BT6" s="2">
        <f t="shared" si="1"/>
        <v>46035</v>
      </c>
      <c r="BU6" s="2">
        <f t="shared" si="1"/>
        <v>46036</v>
      </c>
      <c r="BV6" s="2">
        <f t="shared" si="1"/>
        <v>46037</v>
      </c>
      <c r="BW6" s="2">
        <f t="shared" si="1"/>
        <v>46038</v>
      </c>
      <c r="BX6" s="2">
        <f t="shared" si="1"/>
        <v>46039</v>
      </c>
      <c r="BY6" s="18">
        <f t="shared" si="1"/>
        <v>46040</v>
      </c>
      <c r="BZ6" s="2">
        <f t="shared" si="1"/>
        <v>46041</v>
      </c>
      <c r="CA6" s="2">
        <f t="shared" si="1"/>
        <v>46042</v>
      </c>
      <c r="CB6" s="2">
        <f t="shared" si="1"/>
        <v>46043</v>
      </c>
      <c r="CC6" s="2">
        <f t="shared" si="1"/>
        <v>46044</v>
      </c>
      <c r="CD6" s="2">
        <f t="shared" si="1"/>
        <v>46045</v>
      </c>
      <c r="CE6" s="19">
        <f t="shared" si="1"/>
        <v>46046</v>
      </c>
    </row>
    <row r="7" spans="1:84" s="6" customFormat="1" ht="28" customHeight="1" x14ac:dyDescent="0.35">
      <c r="A7" s="42"/>
      <c r="B7" s="34" t="s">
        <v>26</v>
      </c>
      <c r="C7" s="34" t="s">
        <v>25</v>
      </c>
      <c r="D7" s="34" t="s">
        <v>4</v>
      </c>
      <c r="E7" s="34" t="s">
        <v>5</v>
      </c>
      <c r="F7" s="34" t="s">
        <v>21</v>
      </c>
      <c r="G7" s="34" t="s">
        <v>24</v>
      </c>
      <c r="H7" s="34" t="s">
        <v>6</v>
      </c>
      <c r="I7" s="23" t="s">
        <v>4</v>
      </c>
      <c r="J7" s="23" t="s">
        <v>5</v>
      </c>
      <c r="K7" s="23" t="s">
        <v>7</v>
      </c>
      <c r="L7" s="23" t="s">
        <v>24</v>
      </c>
      <c r="M7" s="23" t="s">
        <v>6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V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ref="W7" si="3">LEFT(UPPER(TEXT(WEEKDAY(W6),"DDD")),1)</f>
        <v>T</v>
      </c>
      <c r="X7" s="5" t="str">
        <f t="shared" ref="X7" si="4">LEFT(UPPER(TEXT(WEEKDAY(X6),"DDD")),1)</f>
        <v>Q</v>
      </c>
      <c r="Y7" s="5" t="str">
        <f t="shared" ref="Y7" si="5">LEFT(UPPER(TEXT(WEEKDAY(Y6),"DDD")),1)</f>
        <v>Q</v>
      </c>
      <c r="Z7" s="5" t="str">
        <f t="shared" ref="Z7" si="6">LEFT(UPPER(TEXT(WEEKDAY(Z6),"DDD")),1)</f>
        <v>S</v>
      </c>
      <c r="AA7" s="5" t="str">
        <f t="shared" ref="AA7" si="7">LEFT(UPPER(TEXT(WEEKDAY(AA6),"DDD")),1)</f>
        <v>S</v>
      </c>
      <c r="AB7" s="5" t="str">
        <f t="shared" ref="AB7" si="8">LEFT(UPPER(TEXT(WEEKDAY(AB6),"DDD")),1)</f>
        <v>D</v>
      </c>
      <c r="AC7" s="5" t="str">
        <f t="shared" ref="AC7" si="9">LEFT(UPPER(TEXT(WEEKDAY(AC6),"DDD")),1)</f>
        <v>S</v>
      </c>
      <c r="AD7" s="5" t="str">
        <f t="shared" ref="AD7" si="10">LEFT(UPPER(TEXT(WEEKDAY(AD6),"DDD")),1)</f>
        <v>T</v>
      </c>
      <c r="AE7" s="5" t="str">
        <f t="shared" ref="AE7" si="11">LEFT(UPPER(TEXT(WEEKDAY(AE6),"DDD")),1)</f>
        <v>Q</v>
      </c>
      <c r="AF7" s="5" t="str">
        <f t="shared" ref="AF7" si="12">LEFT(UPPER(TEXT(WEEKDAY(AF6),"DDD")),1)</f>
        <v>Q</v>
      </c>
      <c r="AG7" s="5" t="str">
        <f t="shared" ref="AG7" si="13">LEFT(UPPER(TEXT(WEEKDAY(AG6),"DDD")),1)</f>
        <v>S</v>
      </c>
      <c r="AH7" s="5" t="str">
        <f t="shared" ref="AH7" si="14">LEFT(UPPER(TEXT(WEEKDAY(AH6),"DDD")),1)</f>
        <v>S</v>
      </c>
      <c r="AI7" s="5" t="str">
        <f t="shared" ref="AI7" si="15">LEFT(UPPER(TEXT(WEEKDAY(AI6),"DDD")),1)</f>
        <v>D</v>
      </c>
      <c r="AJ7" s="5" t="str">
        <f t="shared" ref="AJ7" si="16">LEFT(UPPER(TEXT(WEEKDAY(AJ6),"DDD")),1)</f>
        <v>S</v>
      </c>
      <c r="AK7" s="5" t="str">
        <f t="shared" ref="AK7" si="17">LEFT(UPPER(TEXT(WEEKDAY(AK6),"DDD")),1)</f>
        <v>T</v>
      </c>
      <c r="AL7" s="5" t="str">
        <f t="shared" ref="AL7" si="18">LEFT(UPPER(TEXT(WEEKDAY(AL6),"DDD")),1)</f>
        <v>Q</v>
      </c>
      <c r="AM7" s="5" t="str">
        <f t="shared" ref="AM7" si="19">LEFT(UPPER(TEXT(WEEKDAY(AM6),"DDD")),1)</f>
        <v>Q</v>
      </c>
      <c r="AN7" s="5" t="str">
        <f t="shared" ref="AN7" si="20">LEFT(UPPER(TEXT(WEEKDAY(AN6),"DDD")),1)</f>
        <v>S</v>
      </c>
      <c r="AO7" s="5" t="str">
        <f t="shared" ref="AO7" si="21">LEFT(UPPER(TEXT(WEEKDAY(AO6),"DDD")),1)</f>
        <v>S</v>
      </c>
      <c r="AP7" s="5" t="str">
        <f t="shared" ref="AP7" si="22">LEFT(UPPER(TEXT(WEEKDAY(AP6),"DDD")),1)</f>
        <v>D</v>
      </c>
      <c r="AQ7" s="5" t="str">
        <f t="shared" ref="AQ7" si="23">LEFT(UPPER(TEXT(WEEKDAY(AQ6),"DDD")),1)</f>
        <v>S</v>
      </c>
      <c r="AR7" s="5" t="str">
        <f t="shared" ref="AR7" si="24">LEFT(UPPER(TEXT(WEEKDAY(AR6),"DDD")),1)</f>
        <v>T</v>
      </c>
      <c r="AS7" s="5" t="str">
        <f t="shared" ref="AS7" si="25">LEFT(UPPER(TEXT(WEEKDAY(AS6),"DDD")),1)</f>
        <v>Q</v>
      </c>
      <c r="AT7" s="5" t="str">
        <f t="shared" ref="AT7" si="26">LEFT(UPPER(TEXT(WEEKDAY(AT6),"DDD")),1)</f>
        <v>Q</v>
      </c>
      <c r="AU7" s="5" t="str">
        <f t="shared" ref="AU7" si="27">LEFT(UPPER(TEXT(WEEKDAY(AU6),"DDD")),1)</f>
        <v>S</v>
      </c>
      <c r="AV7" s="5" t="str">
        <f t="shared" ref="AV7" si="28">LEFT(UPPER(TEXT(WEEKDAY(AV6),"DDD")),1)</f>
        <v>S</v>
      </c>
      <c r="AW7" s="5" t="str">
        <f t="shared" ref="AW7" si="29">LEFT(UPPER(TEXT(WEEKDAY(AW6),"DDD")),1)</f>
        <v>D</v>
      </c>
      <c r="AX7" s="5" t="str">
        <f t="shared" ref="AX7" si="30">LEFT(UPPER(TEXT(WEEKDAY(AX6),"DDD")),1)</f>
        <v>S</v>
      </c>
      <c r="AY7" s="5" t="str">
        <f t="shared" ref="AY7" si="31">LEFT(UPPER(TEXT(WEEKDAY(AY6),"DDD")),1)</f>
        <v>T</v>
      </c>
      <c r="AZ7" s="5" t="str">
        <f t="shared" ref="AZ7" si="32">LEFT(UPPER(TEXT(WEEKDAY(AZ6),"DDD")),1)</f>
        <v>Q</v>
      </c>
      <c r="BA7" s="5" t="str">
        <f t="shared" ref="BA7" si="33">LEFT(UPPER(TEXT(WEEKDAY(BA6),"DDD")),1)</f>
        <v>Q</v>
      </c>
      <c r="BB7" s="5" t="str">
        <f t="shared" ref="BB7" si="34">LEFT(UPPER(TEXT(WEEKDAY(BB6),"DDD")),1)</f>
        <v>S</v>
      </c>
      <c r="BC7" s="5" t="str">
        <f t="shared" ref="BC7" si="35">LEFT(UPPER(TEXT(WEEKDAY(BC6),"DDD")),1)</f>
        <v>S</v>
      </c>
      <c r="BD7" s="5" t="str">
        <f t="shared" ref="BD7" si="36">LEFT(UPPER(TEXT(WEEKDAY(BD6),"DDD")),1)</f>
        <v>D</v>
      </c>
      <c r="BE7" s="5" t="str">
        <f t="shared" ref="BE7" si="37">LEFT(UPPER(TEXT(WEEKDAY(BE6),"DDD")),1)</f>
        <v>S</v>
      </c>
      <c r="BF7" s="5" t="str">
        <f t="shared" ref="BF7" si="38">LEFT(UPPER(TEXT(WEEKDAY(BF6),"DDD")),1)</f>
        <v>T</v>
      </c>
      <c r="BG7" s="5" t="str">
        <f t="shared" ref="BG7" si="39">LEFT(UPPER(TEXT(WEEKDAY(BG6),"DDD")),1)</f>
        <v>Q</v>
      </c>
      <c r="BH7" s="5" t="str">
        <f t="shared" ref="BH7" si="40">LEFT(UPPER(TEXT(WEEKDAY(BH6),"DDD")),1)</f>
        <v>Q</v>
      </c>
      <c r="BI7" s="5" t="str">
        <f t="shared" ref="BI7" si="41">LEFT(UPPER(TEXT(WEEKDAY(BI6),"DDD")),1)</f>
        <v>S</v>
      </c>
      <c r="BJ7" s="5" t="str">
        <f t="shared" ref="BJ7" si="42">LEFT(UPPER(TEXT(WEEKDAY(BJ6),"DDD")),1)</f>
        <v>S</v>
      </c>
      <c r="BK7" s="5" t="str">
        <f t="shared" ref="BK7" si="43">LEFT(UPPER(TEXT(WEEKDAY(BK6),"DDD")),1)</f>
        <v>D</v>
      </c>
      <c r="BL7" s="5" t="str">
        <f t="shared" ref="BL7" si="44">LEFT(UPPER(TEXT(WEEKDAY(BL6),"DDD")),1)</f>
        <v>S</v>
      </c>
      <c r="BM7" s="5" t="str">
        <f t="shared" ref="BM7" si="45">LEFT(UPPER(TEXT(WEEKDAY(BM6),"DDD")),1)</f>
        <v>T</v>
      </c>
      <c r="BN7" s="5" t="str">
        <f t="shared" ref="BN7" si="46">LEFT(UPPER(TEXT(WEEKDAY(BN6),"DDD")),1)</f>
        <v>Q</v>
      </c>
      <c r="BO7" s="5" t="str">
        <f t="shared" ref="BO7" si="47">LEFT(UPPER(TEXT(WEEKDAY(BO6),"DDD")),1)</f>
        <v>Q</v>
      </c>
      <c r="BP7" s="5" t="str">
        <f t="shared" ref="BP7" si="48">LEFT(UPPER(TEXT(WEEKDAY(BP6),"DDD")),1)</f>
        <v>S</v>
      </c>
      <c r="BQ7" s="5" t="str">
        <f t="shared" ref="BQ7" si="49">LEFT(UPPER(TEXT(WEEKDAY(BQ6),"DDD")),1)</f>
        <v>S</v>
      </c>
      <c r="BR7" s="5" t="str">
        <f t="shared" ref="BR7" si="50">LEFT(UPPER(TEXT(WEEKDAY(BR6),"DDD")),1)</f>
        <v>D</v>
      </c>
      <c r="BS7" s="5" t="str">
        <f t="shared" ref="BS7" si="51">LEFT(UPPER(TEXT(WEEKDAY(BS6),"DDD")),1)</f>
        <v>S</v>
      </c>
      <c r="BT7" s="5" t="str">
        <f t="shared" ref="BT7" si="52">LEFT(UPPER(TEXT(WEEKDAY(BT6),"DDD")),1)</f>
        <v>T</v>
      </c>
      <c r="BU7" s="5" t="str">
        <f t="shared" ref="BU7" si="53">LEFT(UPPER(TEXT(WEEKDAY(BU6),"DDD")),1)</f>
        <v>Q</v>
      </c>
      <c r="BV7" s="5" t="str">
        <f t="shared" ref="BV7" si="54">LEFT(UPPER(TEXT(WEEKDAY(BV6),"DDD")),1)</f>
        <v>Q</v>
      </c>
      <c r="BW7" s="5" t="str">
        <f t="shared" ref="BW7" si="55">LEFT(UPPER(TEXT(WEEKDAY(BW6),"DDD")),1)</f>
        <v>S</v>
      </c>
      <c r="BX7" s="5" t="str">
        <f t="shared" ref="BX7" si="56">LEFT(UPPER(TEXT(WEEKDAY(BX6),"DDD")),1)</f>
        <v>S</v>
      </c>
      <c r="BY7" s="5" t="str">
        <f t="shared" ref="BY7" si="57">LEFT(UPPER(TEXT(WEEKDAY(BY6),"DDD")),1)</f>
        <v>D</v>
      </c>
      <c r="BZ7" s="5" t="str">
        <f t="shared" ref="BZ7" si="58">LEFT(UPPER(TEXT(WEEKDAY(BZ6),"DDD")),1)</f>
        <v>S</v>
      </c>
      <c r="CA7" s="5" t="str">
        <f t="shared" ref="CA7" si="59">LEFT(UPPER(TEXT(WEEKDAY(CA6),"DDD")),1)</f>
        <v>T</v>
      </c>
      <c r="CB7" s="5" t="str">
        <f t="shared" ref="CB7" si="60">LEFT(UPPER(TEXT(WEEKDAY(CB6),"DDD")),1)</f>
        <v>Q</v>
      </c>
      <c r="CC7" s="5" t="str">
        <f t="shared" ref="CC7" si="61">LEFT(UPPER(TEXT(WEEKDAY(CC6),"DDD")),1)</f>
        <v>Q</v>
      </c>
      <c r="CD7" s="5" t="str">
        <f t="shared" ref="CD7" si="62">LEFT(UPPER(TEXT(WEEKDAY(CD6),"DDD")),1)</f>
        <v>S</v>
      </c>
      <c r="CE7" s="5" t="str">
        <f t="shared" ref="CE7" si="63">LEFT(UPPER(TEXT(WEEKDAY(CE6),"DDD")),1)</f>
        <v>S</v>
      </c>
      <c r="CF7"/>
    </row>
    <row r="8" spans="1:84" x14ac:dyDescent="0.35">
      <c r="A8" s="43"/>
      <c r="B8" s="26"/>
      <c r="C8" s="27"/>
      <c r="D8" s="13"/>
      <c r="E8" s="13"/>
      <c r="F8" s="12"/>
      <c r="G8" s="12"/>
      <c r="H8" s="21"/>
      <c r="I8" s="13"/>
      <c r="J8" s="22"/>
      <c r="K8" s="12"/>
      <c r="L8" s="29"/>
      <c r="M8" s="24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4" x14ac:dyDescent="0.35">
      <c r="B9" s="16" t="s">
        <v>73</v>
      </c>
      <c r="C9" s="30" t="s">
        <v>27</v>
      </c>
      <c r="D9" s="31">
        <f>M1</f>
        <v>45973</v>
      </c>
      <c r="E9" s="13">
        <f>D9+F9</f>
        <v>45974</v>
      </c>
      <c r="F9" s="28">
        <v>1</v>
      </c>
      <c r="G9" s="35"/>
      <c r="H9" s="21">
        <f ca="1">IF(D9="",0,IF(D9&gt;TODAY(),0,IF(E9&lt;TODAY(),1,(TODAY()-D9)/(E9-D9))))</f>
        <v>1</v>
      </c>
      <c r="I9" s="1"/>
      <c r="J9" s="13"/>
      <c r="K9" s="12"/>
      <c r="L9" s="35"/>
      <c r="M9" s="24">
        <v>1</v>
      </c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</row>
    <row r="10" spans="1:84" ht="15.5" x14ac:dyDescent="0.35">
      <c r="B10" s="16" t="s">
        <v>75</v>
      </c>
      <c r="C10" s="16" t="s">
        <v>74</v>
      </c>
      <c r="D10" s="31">
        <f>E9</f>
        <v>45974</v>
      </c>
      <c r="E10" s="13">
        <f>D10+F10</f>
        <v>45976</v>
      </c>
      <c r="F10" s="28">
        <v>2</v>
      </c>
      <c r="G10" s="37" t="s">
        <v>51</v>
      </c>
      <c r="H10" s="21">
        <v>1</v>
      </c>
      <c r="I10" s="1">
        <v>45968</v>
      </c>
      <c r="J10" s="13">
        <f>I10+K10</f>
        <v>45969</v>
      </c>
      <c r="K10" s="28">
        <v>1</v>
      </c>
      <c r="L10" s="37" t="s">
        <v>51</v>
      </c>
      <c r="M10" s="24">
        <v>1</v>
      </c>
      <c r="N10" s="1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</row>
    <row r="11" spans="1:84" ht="15.5" x14ac:dyDescent="0.35">
      <c r="A11" s="43"/>
      <c r="B11" s="16"/>
      <c r="C11" s="16" t="s">
        <v>28</v>
      </c>
      <c r="D11" s="31">
        <f t="shared" ref="D11:D18" si="64">E10</f>
        <v>45976</v>
      </c>
      <c r="E11" s="13">
        <f t="shared" ref="E11:E20" si="65">D11+F11</f>
        <v>45977</v>
      </c>
      <c r="F11" s="28">
        <v>1</v>
      </c>
      <c r="G11" s="37" t="s">
        <v>51</v>
      </c>
      <c r="H11" s="21">
        <v>1</v>
      </c>
      <c r="I11" s="31">
        <v>45974</v>
      </c>
      <c r="J11" s="13">
        <v>45671</v>
      </c>
      <c r="K11" s="28">
        <v>2</v>
      </c>
      <c r="L11" s="38" t="s">
        <v>52</v>
      </c>
      <c r="M11" s="24">
        <v>1</v>
      </c>
      <c r="N11" s="1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</row>
    <row r="12" spans="1:84" x14ac:dyDescent="0.35">
      <c r="A12" s="43"/>
      <c r="B12" s="16"/>
      <c r="C12" s="16" t="s">
        <v>30</v>
      </c>
      <c r="D12" s="31">
        <f t="shared" si="64"/>
        <v>45977</v>
      </c>
      <c r="E12" s="13">
        <f t="shared" si="65"/>
        <v>45979</v>
      </c>
      <c r="F12" s="28">
        <v>2</v>
      </c>
      <c r="G12" s="36"/>
      <c r="H12" s="21"/>
      <c r="I12" s="13"/>
      <c r="J12" s="13"/>
      <c r="K12" s="28"/>
      <c r="L12" s="36"/>
      <c r="M12" s="24"/>
      <c r="N12" s="1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</row>
    <row r="13" spans="1:84" x14ac:dyDescent="0.35">
      <c r="A13" s="43"/>
      <c r="B13" s="16" t="s">
        <v>75</v>
      </c>
      <c r="C13" s="16" t="s">
        <v>76</v>
      </c>
      <c r="D13" s="31">
        <f t="shared" si="64"/>
        <v>45979</v>
      </c>
      <c r="E13" s="13">
        <f t="shared" si="65"/>
        <v>45981</v>
      </c>
      <c r="F13" s="28">
        <v>2</v>
      </c>
      <c r="G13" s="39" t="s">
        <v>53</v>
      </c>
      <c r="H13" s="21">
        <f t="shared" ref="H13" ca="1" si="66">IF(D13="",0,IF(D13&gt;TODAY(),0,IF(E13&lt;TODAY(),1,(TODAY()-D13)/(E13-D13))))</f>
        <v>1</v>
      </c>
      <c r="I13" s="31">
        <v>45979</v>
      </c>
      <c r="J13" s="13">
        <v>45981</v>
      </c>
      <c r="K13" s="28"/>
      <c r="L13" s="35"/>
      <c r="M13" s="24">
        <v>1</v>
      </c>
      <c r="N13" s="1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</row>
    <row r="14" spans="1:84" x14ac:dyDescent="0.35">
      <c r="A14" s="43"/>
      <c r="B14" s="16"/>
      <c r="C14" s="16" t="s">
        <v>31</v>
      </c>
      <c r="D14" s="31">
        <f t="shared" si="64"/>
        <v>45981</v>
      </c>
      <c r="E14" s="13">
        <f t="shared" si="65"/>
        <v>45983.199999999997</v>
      </c>
      <c r="F14" s="28">
        <v>2.2000000000000002</v>
      </c>
      <c r="G14" s="35"/>
      <c r="H14" s="21">
        <f ca="1">IF(D14="",0,IF(D14&gt;TODAY(),0,IF(E14&lt;TODAY(),1,(TODAY()-D14)/(E14-D14))))</f>
        <v>1</v>
      </c>
      <c r="I14" s="13">
        <v>45979</v>
      </c>
      <c r="J14" s="13">
        <v>45981</v>
      </c>
      <c r="K14" s="28"/>
      <c r="L14" s="35"/>
      <c r="M14" s="24">
        <v>0.7</v>
      </c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</row>
    <row r="15" spans="1:84" x14ac:dyDescent="0.35">
      <c r="A15" s="43"/>
      <c r="B15" s="16"/>
      <c r="C15" s="16" t="s">
        <v>32</v>
      </c>
      <c r="D15" s="31">
        <f t="shared" si="64"/>
        <v>45983.199999999997</v>
      </c>
      <c r="E15" s="13">
        <f t="shared" si="65"/>
        <v>45985.599999999999</v>
      </c>
      <c r="F15" s="28">
        <v>2.4</v>
      </c>
      <c r="G15" s="36"/>
      <c r="H15" s="21"/>
      <c r="I15" s="13">
        <v>45972</v>
      </c>
      <c r="J15" s="13">
        <v>45975</v>
      </c>
      <c r="K15" s="28"/>
      <c r="L15" s="36"/>
      <c r="M15" s="24">
        <v>0.9</v>
      </c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</row>
    <row r="16" spans="1:84" x14ac:dyDescent="0.35">
      <c r="A16" s="43"/>
      <c r="B16" s="16"/>
      <c r="C16" s="16" t="s">
        <v>33</v>
      </c>
      <c r="D16" s="31">
        <f t="shared" si="64"/>
        <v>45985.599999999999</v>
      </c>
      <c r="E16" s="13">
        <f t="shared" si="65"/>
        <v>45988.2</v>
      </c>
      <c r="F16" s="28">
        <v>2.6</v>
      </c>
      <c r="G16" s="35"/>
      <c r="H16" s="21">
        <f t="shared" ref="H16:H24" ca="1" si="67">IF(D16="",0,IF(D16&gt;TODAY(),0,IF(E16&lt;TODAY(),1,(TODAY()-D16)/(E16-D16))))</f>
        <v>1</v>
      </c>
      <c r="I16" s="13"/>
      <c r="J16" s="13"/>
      <c r="K16" s="28"/>
      <c r="L16" s="35"/>
      <c r="M16" s="24">
        <v>0</v>
      </c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</row>
    <row r="17" spans="1:83" x14ac:dyDescent="0.35">
      <c r="A17" s="43"/>
      <c r="B17" s="16"/>
      <c r="C17" s="16" t="s">
        <v>34</v>
      </c>
      <c r="D17" s="31">
        <f t="shared" si="64"/>
        <v>45988.2</v>
      </c>
      <c r="E17" s="13">
        <f t="shared" si="65"/>
        <v>45991</v>
      </c>
      <c r="F17" s="28">
        <v>2.8</v>
      </c>
      <c r="G17" s="35"/>
      <c r="H17" s="21">
        <f t="shared" ca="1" si="67"/>
        <v>1</v>
      </c>
      <c r="I17" s="13"/>
      <c r="J17" s="13"/>
      <c r="K17" s="28"/>
      <c r="L17" s="35"/>
      <c r="M17" s="24">
        <v>0</v>
      </c>
      <c r="N17" s="1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</row>
    <row r="18" spans="1:83" x14ac:dyDescent="0.35">
      <c r="A18" s="43"/>
      <c r="B18" s="16"/>
      <c r="C18" s="16" t="s">
        <v>35</v>
      </c>
      <c r="D18" s="31">
        <f t="shared" si="64"/>
        <v>45991</v>
      </c>
      <c r="E18" s="13">
        <f t="shared" si="65"/>
        <v>45994</v>
      </c>
      <c r="F18" s="28">
        <v>3</v>
      </c>
      <c r="G18" s="36"/>
      <c r="H18" s="21"/>
      <c r="I18" s="13"/>
      <c r="J18" s="13"/>
      <c r="K18" s="28"/>
      <c r="L18" s="36"/>
      <c r="M18" s="24"/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</row>
    <row r="19" spans="1:83" x14ac:dyDescent="0.35">
      <c r="A19" s="43"/>
      <c r="B19" s="16"/>
      <c r="C19" s="16" t="s">
        <v>36</v>
      </c>
      <c r="D19" s="31"/>
      <c r="E19" s="13"/>
      <c r="F19" s="28"/>
      <c r="G19" s="36"/>
      <c r="H19" s="21"/>
      <c r="I19" s="13"/>
      <c r="J19" s="13"/>
      <c r="K19" s="28"/>
      <c r="L19" s="36"/>
      <c r="M19" s="24"/>
      <c r="N19" s="1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</row>
    <row r="20" spans="1:83" x14ac:dyDescent="0.35">
      <c r="A20" s="43"/>
      <c r="B20" s="16" t="s">
        <v>73</v>
      </c>
      <c r="C20" s="30" t="s">
        <v>37</v>
      </c>
      <c r="D20" s="1">
        <f>E18</f>
        <v>45994</v>
      </c>
      <c r="E20" s="13">
        <f t="shared" si="65"/>
        <v>45995</v>
      </c>
      <c r="F20" s="28">
        <v>1</v>
      </c>
      <c r="G20" s="35"/>
      <c r="H20" s="21">
        <f t="shared" ca="1" si="67"/>
        <v>0</v>
      </c>
      <c r="I20" s="13"/>
      <c r="J20" s="13"/>
      <c r="K20" s="28"/>
      <c r="L20" s="35"/>
      <c r="M20" s="24">
        <v>0</v>
      </c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</row>
    <row r="21" spans="1:83" x14ac:dyDescent="0.35">
      <c r="A21" s="43"/>
      <c r="B21" s="16" t="s">
        <v>75</v>
      </c>
      <c r="C21" s="16" t="s">
        <v>77</v>
      </c>
      <c r="D21" s="31">
        <f>E20</f>
        <v>45995</v>
      </c>
      <c r="E21" s="13">
        <f>D21+F21</f>
        <v>45997</v>
      </c>
      <c r="F21" s="28">
        <v>2</v>
      </c>
      <c r="G21" s="35"/>
      <c r="H21" s="21">
        <f t="shared" ca="1" si="67"/>
        <v>0</v>
      </c>
      <c r="I21" s="13"/>
      <c r="J21" s="13"/>
      <c r="K21" s="28"/>
      <c r="L21" s="35"/>
      <c r="M21" s="24">
        <v>0</v>
      </c>
      <c r="N21" s="1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</row>
    <row r="22" spans="1:83" x14ac:dyDescent="0.35">
      <c r="A22" s="43"/>
      <c r="B22" s="16"/>
      <c r="C22" s="16" t="s">
        <v>38</v>
      </c>
      <c r="D22" s="31">
        <f t="shared" ref="D22:D32" si="68">E21</f>
        <v>45997</v>
      </c>
      <c r="E22" s="13">
        <f t="shared" ref="E22:E32" si="69">D22+F22</f>
        <v>45998</v>
      </c>
      <c r="F22" s="28">
        <v>1</v>
      </c>
      <c r="G22" s="36"/>
      <c r="H22" s="21">
        <f t="shared" ca="1" si="67"/>
        <v>0</v>
      </c>
      <c r="I22" s="13"/>
      <c r="J22" s="13"/>
      <c r="K22" s="28"/>
      <c r="L22" s="36"/>
      <c r="M22" s="24"/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</row>
    <row r="23" spans="1:83" x14ac:dyDescent="0.35">
      <c r="A23" s="43"/>
      <c r="B23" s="16"/>
      <c r="C23" s="16" t="s">
        <v>39</v>
      </c>
      <c r="D23" s="31">
        <f t="shared" si="68"/>
        <v>45998</v>
      </c>
      <c r="E23" s="13">
        <f t="shared" si="69"/>
        <v>46000</v>
      </c>
      <c r="F23" s="28">
        <v>2</v>
      </c>
      <c r="G23" s="35"/>
      <c r="H23" s="21">
        <f t="shared" ca="1" si="67"/>
        <v>0</v>
      </c>
      <c r="I23" s="13"/>
      <c r="J23" s="13"/>
      <c r="K23" s="28"/>
      <c r="L23" s="35"/>
      <c r="M23" s="24">
        <v>0</v>
      </c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</row>
    <row r="24" spans="1:83" x14ac:dyDescent="0.35">
      <c r="A24" s="43"/>
      <c r="B24" s="16" t="s">
        <v>75</v>
      </c>
      <c r="C24" s="16" t="s">
        <v>40</v>
      </c>
      <c r="D24" s="31">
        <f t="shared" si="68"/>
        <v>46000</v>
      </c>
      <c r="E24" s="13">
        <f t="shared" si="69"/>
        <v>46001</v>
      </c>
      <c r="F24" s="28">
        <v>1</v>
      </c>
      <c r="G24" s="35"/>
      <c r="H24" s="21">
        <f t="shared" ca="1" si="67"/>
        <v>0</v>
      </c>
      <c r="I24" s="13"/>
      <c r="J24" s="13"/>
      <c r="K24" s="28"/>
      <c r="L24" s="35"/>
      <c r="M24" s="24">
        <v>0</v>
      </c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</row>
    <row r="25" spans="1:83" x14ac:dyDescent="0.35">
      <c r="A25" s="43"/>
      <c r="B25" s="16"/>
      <c r="C25" s="16" t="s">
        <v>42</v>
      </c>
      <c r="D25" s="31">
        <f t="shared" si="68"/>
        <v>46001</v>
      </c>
      <c r="E25" s="13">
        <f t="shared" si="69"/>
        <v>46003</v>
      </c>
      <c r="F25" s="28">
        <v>2</v>
      </c>
      <c r="G25" s="35"/>
      <c r="H25" s="21">
        <f t="shared" ref="H25:H34" ca="1" si="70">IF(D25="",0,IF(D25&gt;TODAY(),0,IF(E25&lt;TODAY(),1,(TODAY()-D25)/(E25-D25))))</f>
        <v>0</v>
      </c>
      <c r="I25" s="13"/>
      <c r="J25" s="13"/>
      <c r="K25" s="28"/>
      <c r="L25" s="35"/>
      <c r="M25" s="24">
        <v>0</v>
      </c>
      <c r="N25" s="1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</row>
    <row r="26" spans="1:83" x14ac:dyDescent="0.35">
      <c r="A26" s="43"/>
      <c r="B26" s="16"/>
      <c r="C26" s="16" t="s">
        <v>43</v>
      </c>
      <c r="D26" s="31">
        <f t="shared" si="68"/>
        <v>46003</v>
      </c>
      <c r="E26" s="13">
        <f t="shared" si="69"/>
        <v>46004</v>
      </c>
      <c r="F26" s="28">
        <v>1</v>
      </c>
      <c r="G26" s="35"/>
      <c r="H26" s="21">
        <f t="shared" ca="1" si="70"/>
        <v>0</v>
      </c>
      <c r="I26" s="13"/>
      <c r="J26" s="13"/>
      <c r="K26" s="28"/>
      <c r="L26" s="35"/>
      <c r="M26" s="24">
        <v>0</v>
      </c>
      <c r="N26" s="1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</row>
    <row r="27" spans="1:83" x14ac:dyDescent="0.35">
      <c r="A27" s="43"/>
      <c r="B27" s="16"/>
      <c r="C27" s="16" t="s">
        <v>44</v>
      </c>
      <c r="D27" s="31">
        <f t="shared" si="68"/>
        <v>46004</v>
      </c>
      <c r="E27" s="13">
        <f t="shared" si="69"/>
        <v>46006</v>
      </c>
      <c r="F27" s="28">
        <v>2</v>
      </c>
      <c r="G27" s="35"/>
      <c r="H27" s="21">
        <f t="shared" ca="1" si="70"/>
        <v>0</v>
      </c>
      <c r="I27" s="13"/>
      <c r="J27" s="13"/>
      <c r="K27" s="28"/>
      <c r="L27" s="35"/>
      <c r="M27" s="24">
        <v>0</v>
      </c>
      <c r="N27" s="1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</row>
    <row r="28" spans="1:83" x14ac:dyDescent="0.35">
      <c r="A28" s="43"/>
      <c r="B28" s="16"/>
      <c r="C28" s="16" t="s">
        <v>43</v>
      </c>
      <c r="D28" s="31">
        <f t="shared" si="68"/>
        <v>46006</v>
      </c>
      <c r="E28" s="13">
        <f t="shared" si="69"/>
        <v>46007</v>
      </c>
      <c r="F28" s="28">
        <v>1</v>
      </c>
      <c r="G28" s="35"/>
      <c r="H28" s="21">
        <f t="shared" ca="1" si="70"/>
        <v>0</v>
      </c>
      <c r="I28" s="13"/>
      <c r="J28" s="13"/>
      <c r="K28" s="28"/>
      <c r="L28" s="35"/>
      <c r="M28" s="24">
        <v>0</v>
      </c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</row>
    <row r="29" spans="1:83" x14ac:dyDescent="0.35">
      <c r="A29" s="43"/>
      <c r="B29" s="16"/>
      <c r="C29" s="16" t="s">
        <v>41</v>
      </c>
      <c r="D29" s="31">
        <f>E28</f>
        <v>46007</v>
      </c>
      <c r="E29" s="13">
        <f>D29+F29</f>
        <v>46009</v>
      </c>
      <c r="F29" s="28">
        <v>2</v>
      </c>
      <c r="G29" s="35"/>
      <c r="H29" s="21">
        <f t="shared" ca="1" si="70"/>
        <v>0</v>
      </c>
      <c r="I29" s="13"/>
      <c r="J29" s="13"/>
      <c r="K29" s="28"/>
      <c r="L29" s="35"/>
      <c r="M29" s="24">
        <v>0</v>
      </c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</row>
    <row r="30" spans="1:83" x14ac:dyDescent="0.35">
      <c r="A30" s="43"/>
      <c r="B30" s="16"/>
      <c r="C30" s="16" t="s">
        <v>45</v>
      </c>
      <c r="D30" s="31">
        <f t="shared" si="68"/>
        <v>46009</v>
      </c>
      <c r="E30" s="13">
        <f t="shared" si="69"/>
        <v>46010</v>
      </c>
      <c r="F30" s="28">
        <v>1</v>
      </c>
      <c r="G30" s="35"/>
      <c r="H30" s="21">
        <f t="shared" ca="1" si="70"/>
        <v>0</v>
      </c>
      <c r="I30" s="13"/>
      <c r="J30" s="13"/>
      <c r="K30" s="28"/>
      <c r="L30" s="35"/>
      <c r="M30" s="24">
        <v>0</v>
      </c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x14ac:dyDescent="0.35">
      <c r="A31" s="43"/>
      <c r="B31" s="16"/>
      <c r="C31" s="16" t="s">
        <v>42</v>
      </c>
      <c r="D31" s="31">
        <f t="shared" si="68"/>
        <v>46010</v>
      </c>
      <c r="E31" s="13">
        <f t="shared" si="69"/>
        <v>46012</v>
      </c>
      <c r="F31" s="28">
        <v>2</v>
      </c>
      <c r="G31" s="35"/>
      <c r="H31" s="21">
        <f t="shared" ca="1" si="70"/>
        <v>0</v>
      </c>
      <c r="I31" s="13"/>
      <c r="J31" s="13"/>
      <c r="K31" s="28"/>
      <c r="L31" s="35"/>
      <c r="M31" s="24">
        <v>0</v>
      </c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x14ac:dyDescent="0.35">
      <c r="A32" s="43"/>
      <c r="B32" s="16"/>
      <c r="C32" s="16" t="s">
        <v>43</v>
      </c>
      <c r="D32" s="31">
        <f t="shared" si="68"/>
        <v>46012</v>
      </c>
      <c r="E32" s="13">
        <f t="shared" si="69"/>
        <v>46025</v>
      </c>
      <c r="F32" s="28">
        <v>13</v>
      </c>
      <c r="G32" s="35"/>
      <c r="H32" s="21">
        <f t="shared" ca="1" si="70"/>
        <v>0</v>
      </c>
      <c r="I32" s="13"/>
      <c r="J32" s="13"/>
      <c r="K32" s="28"/>
      <c r="L32" s="35"/>
      <c r="M32" s="24">
        <v>0</v>
      </c>
      <c r="N32" s="1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1:83" x14ac:dyDescent="0.35">
      <c r="A33" s="43"/>
      <c r="B33" s="16"/>
      <c r="C33" s="16" t="s">
        <v>44</v>
      </c>
      <c r="D33" s="31">
        <f t="shared" ref="D33" si="71">E32</f>
        <v>46025</v>
      </c>
      <c r="E33" s="13">
        <f t="shared" ref="E33:E39" si="72">D33+F33</f>
        <v>46027</v>
      </c>
      <c r="F33" s="28">
        <v>2</v>
      </c>
      <c r="G33" s="35"/>
      <c r="H33" s="21">
        <f t="shared" ca="1" si="70"/>
        <v>0</v>
      </c>
      <c r="I33" s="13"/>
      <c r="J33" s="13"/>
      <c r="K33" s="28"/>
      <c r="L33" s="35"/>
      <c r="M33" s="24">
        <v>0</v>
      </c>
      <c r="N33" s="1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1:83" x14ac:dyDescent="0.35">
      <c r="A34" s="43"/>
      <c r="B34" s="16"/>
      <c r="C34" s="16" t="s">
        <v>46</v>
      </c>
      <c r="D34" s="1">
        <v>45981</v>
      </c>
      <c r="E34" s="13">
        <f t="shared" si="72"/>
        <v>45984</v>
      </c>
      <c r="F34" s="28">
        <v>3</v>
      </c>
      <c r="G34" s="35"/>
      <c r="H34" s="21">
        <f t="shared" ca="1" si="70"/>
        <v>1</v>
      </c>
      <c r="I34" s="13"/>
      <c r="J34" s="13"/>
      <c r="K34" s="28"/>
      <c r="L34" s="35"/>
      <c r="M34" s="24">
        <v>0</v>
      </c>
      <c r="N34" s="1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1:83" x14ac:dyDescent="0.35">
      <c r="A35" s="43"/>
      <c r="B35" s="16"/>
      <c r="C35" s="16" t="s">
        <v>42</v>
      </c>
      <c r="D35" s="13"/>
      <c r="E35" s="13"/>
      <c r="F35" s="28"/>
      <c r="G35" s="35"/>
      <c r="H35" s="21">
        <f t="shared" ref="H35:H38" ca="1" si="73">IF(D35="",0,IF(D35&gt;TODAY(),0,IF(E35&lt;TODAY(),1,(TODAY()-D35)/(E35-D35))))</f>
        <v>0</v>
      </c>
      <c r="I35" s="13"/>
      <c r="J35" s="13"/>
      <c r="K35" s="28"/>
      <c r="L35" s="35"/>
      <c r="M35" s="24">
        <v>0</v>
      </c>
      <c r="N35" s="1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1:83" x14ac:dyDescent="0.35">
      <c r="A36" s="43"/>
      <c r="B36" s="16"/>
      <c r="C36" s="16" t="s">
        <v>43</v>
      </c>
      <c r="D36" s="1">
        <v>45980</v>
      </c>
      <c r="E36" s="13">
        <f t="shared" si="72"/>
        <v>45981</v>
      </c>
      <c r="F36" s="28">
        <v>1</v>
      </c>
      <c r="G36" s="35"/>
      <c r="H36" s="21">
        <f t="shared" ca="1" si="73"/>
        <v>1</v>
      </c>
      <c r="I36" s="13"/>
      <c r="J36" s="13"/>
      <c r="K36" s="28"/>
      <c r="L36" s="35"/>
      <c r="M36" s="24">
        <v>0</v>
      </c>
      <c r="N36" s="1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1:83" x14ac:dyDescent="0.35">
      <c r="A37" s="43"/>
      <c r="B37" s="16"/>
      <c r="C37" s="16" t="s">
        <v>44</v>
      </c>
      <c r="D37" s="31">
        <f t="shared" ref="D37" si="74">E36</f>
        <v>45981</v>
      </c>
      <c r="E37" s="13">
        <f t="shared" si="72"/>
        <v>45983</v>
      </c>
      <c r="F37" s="28">
        <v>2</v>
      </c>
      <c r="G37" s="35"/>
      <c r="H37" s="21">
        <f t="shared" ca="1" si="73"/>
        <v>1</v>
      </c>
      <c r="I37" s="13"/>
      <c r="J37" s="13"/>
      <c r="K37" s="28"/>
      <c r="L37" s="35"/>
      <c r="M37" s="24">
        <v>0</v>
      </c>
      <c r="N37" s="1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</row>
    <row r="38" spans="1:83" x14ac:dyDescent="0.35">
      <c r="A38" s="43"/>
      <c r="B38" s="16" t="s">
        <v>75</v>
      </c>
      <c r="C38" s="16" t="s">
        <v>78</v>
      </c>
      <c r="D38" s="1">
        <v>45981</v>
      </c>
      <c r="E38" s="13">
        <f t="shared" si="72"/>
        <v>45984</v>
      </c>
      <c r="F38" s="28">
        <v>3</v>
      </c>
      <c r="G38" s="35"/>
      <c r="H38" s="21">
        <f t="shared" ca="1" si="73"/>
        <v>1</v>
      </c>
      <c r="I38" s="13"/>
      <c r="J38" s="13"/>
      <c r="K38" s="28"/>
      <c r="L38" s="35"/>
      <c r="M38" s="24">
        <v>0</v>
      </c>
      <c r="N38" s="1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</row>
    <row r="39" spans="1:83" x14ac:dyDescent="0.35">
      <c r="A39" s="43"/>
      <c r="B39" s="16"/>
      <c r="C39" s="16" t="s">
        <v>47</v>
      </c>
      <c r="D39" s="1">
        <v>45982</v>
      </c>
      <c r="E39" s="13">
        <f t="shared" si="72"/>
        <v>45986</v>
      </c>
      <c r="F39" s="28">
        <v>4</v>
      </c>
      <c r="G39" s="35"/>
      <c r="H39" s="21">
        <f t="shared" ref="H39" ca="1" si="75">IF(D39="",0,IF(D39&gt;TODAY(),0,IF(E39&lt;TODAY(),1,(TODAY()-D39)/(E39-D39))))</f>
        <v>1</v>
      </c>
      <c r="I39" s="13"/>
      <c r="J39" s="13"/>
      <c r="K39" s="28"/>
      <c r="L39" s="35"/>
      <c r="M39" s="24">
        <v>1</v>
      </c>
      <c r="N39" s="1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</row>
    <row r="40" spans="1:83" x14ac:dyDescent="0.35">
      <c r="A40" s="43"/>
      <c r="B40" s="16"/>
      <c r="C40" s="16" t="s">
        <v>48</v>
      </c>
      <c r="D40" s="13"/>
      <c r="E40" s="13"/>
      <c r="F40" s="28"/>
      <c r="G40" s="28"/>
      <c r="H40" s="21"/>
      <c r="I40" s="13"/>
      <c r="J40" s="13"/>
      <c r="K40" s="28"/>
      <c r="L40" s="29"/>
      <c r="M40" s="24"/>
      <c r="N40" s="1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</row>
    <row r="41" spans="1:83" x14ac:dyDescent="0.35">
      <c r="A41" s="43"/>
      <c r="B41" s="16"/>
      <c r="C41" s="16" t="s">
        <v>49</v>
      </c>
      <c r="D41" s="13"/>
      <c r="E41" s="13"/>
      <c r="F41" s="28"/>
      <c r="G41" s="29"/>
      <c r="H41" s="21"/>
      <c r="I41" s="13"/>
      <c r="J41" s="13"/>
      <c r="K41" s="28"/>
      <c r="L41" s="29"/>
      <c r="M41" s="24"/>
      <c r="N41" s="12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</row>
    <row r="42" spans="1:83" x14ac:dyDescent="0.35">
      <c r="A42" s="43"/>
      <c r="B42" s="16" t="s">
        <v>75</v>
      </c>
      <c r="C42" s="16" t="s">
        <v>50</v>
      </c>
      <c r="D42" s="13"/>
      <c r="E42" s="13"/>
      <c r="F42" s="28"/>
      <c r="G42" s="28"/>
      <c r="H42" s="21"/>
      <c r="I42" s="13"/>
      <c r="J42" s="13"/>
      <c r="K42" s="28"/>
      <c r="L42" s="29"/>
      <c r="M42" s="24"/>
      <c r="N42" s="1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</row>
    <row r="43" spans="1:83" x14ac:dyDescent="0.35">
      <c r="A43" s="43"/>
      <c r="B43" s="16"/>
      <c r="C43" s="16"/>
      <c r="D43" s="13"/>
      <c r="E43" s="13"/>
      <c r="F43" s="28"/>
      <c r="G43" s="28"/>
      <c r="H43" s="21"/>
      <c r="I43" s="13"/>
      <c r="J43" s="13"/>
      <c r="K43" s="28"/>
      <c r="L43" s="29"/>
      <c r="M43" s="24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</row>
    <row r="44" spans="1:83" x14ac:dyDescent="0.35">
      <c r="A44" s="43"/>
      <c r="B44" s="16"/>
      <c r="C44" s="16"/>
      <c r="D44" s="13"/>
      <c r="E44" s="13"/>
      <c r="F44" s="28"/>
      <c r="G44" s="29"/>
      <c r="H44" s="21"/>
      <c r="I44" s="13"/>
      <c r="J44" s="13"/>
      <c r="K44" s="28"/>
      <c r="L44" s="29"/>
      <c r="M44" s="24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</row>
    <row r="45" spans="1:83" x14ac:dyDescent="0.35">
      <c r="A45" s="43"/>
      <c r="B45" s="16" t="str">
        <f t="shared" ref="B45" si="76">IF(C45="","",IF(C45&gt;=$H$6,"Ongoing","Legado"))</f>
        <v/>
      </c>
      <c r="C45" s="27"/>
      <c r="D45" s="13"/>
      <c r="E45" s="13"/>
      <c r="F45" s="12"/>
      <c r="G45" s="12"/>
      <c r="H45" s="21"/>
      <c r="I45" s="12"/>
      <c r="J45" s="12"/>
      <c r="K45" s="12"/>
      <c r="L45" s="29"/>
      <c r="M45" s="24"/>
      <c r="N45" s="1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7" spans="1:83" x14ac:dyDescent="0.35">
      <c r="D47" s="1"/>
    </row>
  </sheetData>
  <mergeCells count="2">
    <mergeCell ref="C3:D5"/>
    <mergeCell ref="C2:D2"/>
  </mergeCells>
  <phoneticPr fontId="4" type="noConversion"/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{4200CF51-F025-4A6A-AA29-4067521CB5AD}</x14:id>
        </ext>
      </extLst>
    </cfRule>
  </conditionalFormatting>
  <conditionalFormatting sqref="H40:H45 H8:H35">
    <cfRule type="dataBar" priority="1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{420C8030-895D-40F8-85A2-4DA8254480EB}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{D7A753AE-227B-43E7-9866-5F37E9B19091}</x14:id>
        </ext>
      </extLst>
    </cfRule>
  </conditionalFormatting>
  <conditionalFormatting sqref="M40:M45 M8:M35">
    <cfRule type="dataBar" priority="1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{A46E5B74-CCB4-4A71-8A6B-A916B8BE331C}</x14:id>
        </ext>
      </extLst>
    </cfRule>
  </conditionalFormatting>
  <conditionalFormatting sqref="N6:CE45">
    <cfRule type="expression" dxfId="19" priority="6">
      <formula>N$6=TODAY()</formula>
    </cfRule>
  </conditionalFormatting>
  <conditionalFormatting sqref="N7:CE45">
    <cfRule type="expression" dxfId="17" priority="7">
      <formula>OR(WEEKDAY(N$6)=1,WEEKDAY(N$6)=7)</formula>
    </cfRule>
  </conditionalFormatting>
  <conditionalFormatting sqref="N8:CE45">
    <cfRule type="expression" dxfId="16" priority="8">
      <formula>AND($I8&lt;&gt;"",$J8&lt;&gt;"",N$6&lt;=data_progresso,N$6&gt;=$I8,N$6&lt;=$J8)</formula>
    </cfRule>
    <cfRule type="expression" dxfId="15" priority="9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Scroll Bar 2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00CF51-F025-4A6A-AA29-4067521CB5A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420C8030-895D-40F8-85A2-4DA8254480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D7A753AE-227B-43E7-9866-5F37E9B1909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A46E5B74-CCB4-4A71-8A6B-A916B8BE33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5" id="{DFA52750-5876-434C-A93A-A5E82E0A8B8F}">
            <xm:f>MATCH(N$6,Feriados!$B:$B,0)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3944-5335-450B-9184-1758776C128C}">
  <dimension ref="A1:CF47"/>
  <sheetViews>
    <sheetView showGridLines="0" zoomScale="57" zoomScaleNormal="57" workbookViewId="0">
      <selection activeCell="I2" sqref="I2:I4"/>
    </sheetView>
  </sheetViews>
  <sheetFormatPr defaultRowHeight="14.5" outlineLevelCol="1" x14ac:dyDescent="0.35"/>
  <cols>
    <col min="1" max="1" width="7.7265625" style="41" bestFit="1" customWidth="1"/>
    <col min="2" max="2" width="9.179687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5" customFormat="1" ht="13.5" customHeight="1" x14ac:dyDescent="0.35">
      <c r="A1" s="40"/>
      <c r="B1" s="44"/>
      <c r="C1" s="53"/>
      <c r="D1" s="44"/>
      <c r="E1" s="47" t="s">
        <v>54</v>
      </c>
      <c r="F1" s="48"/>
      <c r="G1" s="47" t="s">
        <v>57</v>
      </c>
      <c r="I1" s="54" t="s">
        <v>90</v>
      </c>
      <c r="J1" s="54" t="s">
        <v>91</v>
      </c>
      <c r="L1" s="52" t="s">
        <v>8</v>
      </c>
      <c r="M1" s="51">
        <v>45927</v>
      </c>
      <c r="N1" s="46"/>
    </row>
    <row r="2" spans="1:84" s="45" customFormat="1" ht="21" x14ac:dyDescent="0.5">
      <c r="A2" s="40"/>
      <c r="B2" s="44"/>
      <c r="C2" s="57" t="s">
        <v>60</v>
      </c>
      <c r="D2" s="57"/>
      <c r="E2" s="47" t="s">
        <v>55</v>
      </c>
      <c r="F2" s="48"/>
      <c r="G2" s="47" t="s">
        <v>58</v>
      </c>
      <c r="I2" s="45" t="s">
        <v>93</v>
      </c>
      <c r="J2" s="54" t="s">
        <v>84</v>
      </c>
      <c r="L2" s="52" t="s">
        <v>9</v>
      </c>
      <c r="M2" s="52">
        <v>1</v>
      </c>
      <c r="N2" s="46"/>
    </row>
    <row r="3" spans="1:84" s="45" customFormat="1" ht="18" x14ac:dyDescent="0.35">
      <c r="A3" s="54" t="s">
        <v>79</v>
      </c>
      <c r="B3" s="53"/>
      <c r="C3" s="56" t="s">
        <v>63</v>
      </c>
      <c r="D3" s="56"/>
      <c r="E3" s="47" t="s">
        <v>56</v>
      </c>
      <c r="F3" s="48"/>
      <c r="G3" s="47" t="s">
        <v>59</v>
      </c>
      <c r="I3" s="45" t="s">
        <v>94</v>
      </c>
      <c r="J3" s="54" t="s">
        <v>85</v>
      </c>
      <c r="M3" s="52"/>
      <c r="N3" s="46"/>
    </row>
    <row r="4" spans="1:84" s="45" customFormat="1" x14ac:dyDescent="0.35">
      <c r="A4" s="54" t="s">
        <v>87</v>
      </c>
      <c r="B4" s="53" t="s">
        <v>88</v>
      </c>
      <c r="C4" s="56"/>
      <c r="D4" s="56"/>
      <c r="E4" s="47"/>
      <c r="F4" s="48"/>
      <c r="G4" s="47"/>
      <c r="I4" s="45" t="s">
        <v>95</v>
      </c>
      <c r="J4" s="54" t="s">
        <v>86</v>
      </c>
      <c r="M4" s="52"/>
      <c r="N4" s="46"/>
    </row>
    <row r="5" spans="1:84" ht="21.5" customHeight="1" x14ac:dyDescent="0.35">
      <c r="A5" s="54" t="s">
        <v>67</v>
      </c>
      <c r="B5" s="53"/>
      <c r="C5" s="56"/>
      <c r="D5" s="56"/>
      <c r="E5" s="49"/>
      <c r="F5" s="45"/>
      <c r="G5" s="50"/>
      <c r="H5" s="45"/>
      <c r="I5" s="45"/>
      <c r="J5" s="45"/>
      <c r="K5" s="45"/>
      <c r="L5" s="45"/>
      <c r="M5" s="45"/>
      <c r="N5" s="7">
        <f>N6</f>
        <v>45928</v>
      </c>
      <c r="O5" s="8"/>
      <c r="P5" s="8"/>
      <c r="Q5" s="8"/>
      <c r="R5" s="8"/>
      <c r="S5" s="8"/>
      <c r="T5" s="9"/>
      <c r="U5" s="7">
        <f>U6</f>
        <v>45935</v>
      </c>
      <c r="V5" s="8"/>
      <c r="W5" s="8"/>
      <c r="X5" s="8"/>
      <c r="Y5" s="8"/>
      <c r="Z5" s="8"/>
      <c r="AA5" s="9"/>
      <c r="AB5" s="17">
        <f>AB6</f>
        <v>45942</v>
      </c>
      <c r="AC5" s="8"/>
      <c r="AD5" s="8"/>
      <c r="AE5" s="8"/>
      <c r="AF5" s="8"/>
      <c r="AG5" s="8"/>
      <c r="AH5" s="8"/>
      <c r="AI5" s="7">
        <f>AI6</f>
        <v>45949</v>
      </c>
      <c r="AJ5" s="8"/>
      <c r="AK5" s="8"/>
      <c r="AL5" s="8"/>
      <c r="AM5" s="8"/>
      <c r="AN5" s="8"/>
      <c r="AO5" s="9"/>
      <c r="AP5" s="17">
        <f>AP6</f>
        <v>45956</v>
      </c>
      <c r="AQ5" s="8"/>
      <c r="AR5" s="8"/>
      <c r="AS5" s="8"/>
      <c r="AT5" s="8"/>
      <c r="AU5" s="8"/>
      <c r="AV5" s="8"/>
      <c r="AW5" s="7">
        <f>AW6</f>
        <v>45963</v>
      </c>
      <c r="AX5" s="8"/>
      <c r="AY5" s="8"/>
      <c r="AZ5" s="8"/>
      <c r="BA5" s="8"/>
      <c r="BB5" s="8"/>
      <c r="BC5" s="9"/>
      <c r="BD5" s="17">
        <f>BD6</f>
        <v>45970</v>
      </c>
      <c r="BE5" s="8"/>
      <c r="BF5" s="8"/>
      <c r="BG5" s="8"/>
      <c r="BH5" s="8"/>
      <c r="BI5" s="8"/>
      <c r="BJ5" s="8"/>
      <c r="BK5" s="7">
        <f>BK6</f>
        <v>45977</v>
      </c>
      <c r="BL5" s="8"/>
      <c r="BM5" s="8"/>
      <c r="BN5" s="8"/>
      <c r="BO5" s="8"/>
      <c r="BP5" s="8"/>
      <c r="BQ5" s="9"/>
      <c r="BR5" s="17">
        <f>BR6</f>
        <v>45984</v>
      </c>
      <c r="BS5" s="8"/>
      <c r="BT5" s="8"/>
      <c r="BU5" s="8"/>
      <c r="BV5" s="8"/>
      <c r="BW5" s="8"/>
      <c r="BX5" s="8"/>
      <c r="BY5" s="7">
        <f>BY6</f>
        <v>45991</v>
      </c>
      <c r="BZ5" s="8"/>
      <c r="CA5" s="8"/>
      <c r="CB5" s="8"/>
      <c r="CC5" s="8"/>
      <c r="CD5" s="8"/>
      <c r="CE5" s="9"/>
    </row>
    <row r="6" spans="1:84" x14ac:dyDescent="0.35">
      <c r="A6" s="54" t="s">
        <v>68</v>
      </c>
      <c r="B6" s="53"/>
      <c r="C6" s="53"/>
      <c r="D6" s="32" t="s">
        <v>22</v>
      </c>
      <c r="E6" s="32"/>
      <c r="F6" s="32"/>
      <c r="G6" s="32"/>
      <c r="H6" s="33"/>
      <c r="I6" s="25" t="s">
        <v>23</v>
      </c>
      <c r="J6" s="25"/>
      <c r="K6" s="25"/>
      <c r="L6" s="25"/>
      <c r="M6" s="25"/>
      <c r="N6" s="20">
        <f>$M$1+7*M2-WEEKDAY($M$1,2)</f>
        <v>45928</v>
      </c>
      <c r="O6" s="2">
        <f>N6+1</f>
        <v>45929</v>
      </c>
      <c r="P6" s="2">
        <f t="shared" ref="P6:CA6" si="0">O6+1</f>
        <v>45930</v>
      </c>
      <c r="Q6" s="2">
        <f t="shared" si="0"/>
        <v>45931</v>
      </c>
      <c r="R6" s="2">
        <f t="shared" si="0"/>
        <v>45932</v>
      </c>
      <c r="S6" s="2">
        <f t="shared" si="0"/>
        <v>45933</v>
      </c>
      <c r="T6" s="19">
        <f t="shared" si="0"/>
        <v>45934</v>
      </c>
      <c r="U6" s="18">
        <f t="shared" si="0"/>
        <v>45935</v>
      </c>
      <c r="V6" s="2">
        <f t="shared" si="0"/>
        <v>45936</v>
      </c>
      <c r="W6" s="2">
        <f t="shared" si="0"/>
        <v>45937</v>
      </c>
      <c r="X6" s="2">
        <f t="shared" si="0"/>
        <v>45938</v>
      </c>
      <c r="Y6" s="2">
        <f t="shared" si="0"/>
        <v>45939</v>
      </c>
      <c r="Z6" s="2">
        <f t="shared" si="0"/>
        <v>45940</v>
      </c>
      <c r="AA6" s="19">
        <f t="shared" si="0"/>
        <v>45941</v>
      </c>
      <c r="AB6" s="2">
        <f t="shared" si="0"/>
        <v>45942</v>
      </c>
      <c r="AC6" s="2">
        <f t="shared" si="0"/>
        <v>45943</v>
      </c>
      <c r="AD6" s="2">
        <f t="shared" si="0"/>
        <v>45944</v>
      </c>
      <c r="AE6" s="2">
        <f t="shared" si="0"/>
        <v>45945</v>
      </c>
      <c r="AF6" s="2">
        <f t="shared" si="0"/>
        <v>45946</v>
      </c>
      <c r="AG6" s="2">
        <f t="shared" si="0"/>
        <v>45947</v>
      </c>
      <c r="AH6" s="2">
        <f t="shared" si="0"/>
        <v>45948</v>
      </c>
      <c r="AI6" s="18">
        <f t="shared" si="0"/>
        <v>45949</v>
      </c>
      <c r="AJ6" s="2">
        <f t="shared" si="0"/>
        <v>45950</v>
      </c>
      <c r="AK6" s="2">
        <f t="shared" si="0"/>
        <v>45951</v>
      </c>
      <c r="AL6" s="2">
        <f t="shared" si="0"/>
        <v>45952</v>
      </c>
      <c r="AM6" s="2">
        <f t="shared" si="0"/>
        <v>45953</v>
      </c>
      <c r="AN6" s="2">
        <f t="shared" si="0"/>
        <v>45954</v>
      </c>
      <c r="AO6" s="19">
        <f t="shared" si="0"/>
        <v>45955</v>
      </c>
      <c r="AP6" s="2">
        <f t="shared" si="0"/>
        <v>45956</v>
      </c>
      <c r="AQ6" s="2">
        <f t="shared" si="0"/>
        <v>45957</v>
      </c>
      <c r="AR6" s="2">
        <f t="shared" si="0"/>
        <v>45958</v>
      </c>
      <c r="AS6" s="2">
        <f t="shared" si="0"/>
        <v>45959</v>
      </c>
      <c r="AT6" s="2">
        <f t="shared" si="0"/>
        <v>45960</v>
      </c>
      <c r="AU6" s="2">
        <f t="shared" si="0"/>
        <v>45961</v>
      </c>
      <c r="AV6" s="2">
        <f t="shared" si="0"/>
        <v>45962</v>
      </c>
      <c r="AW6" s="18">
        <f t="shared" si="0"/>
        <v>45963</v>
      </c>
      <c r="AX6" s="2">
        <f t="shared" si="0"/>
        <v>45964</v>
      </c>
      <c r="AY6" s="2">
        <f t="shared" si="0"/>
        <v>45965</v>
      </c>
      <c r="AZ6" s="2">
        <f t="shared" si="0"/>
        <v>45966</v>
      </c>
      <c r="BA6" s="2">
        <f t="shared" si="0"/>
        <v>45967</v>
      </c>
      <c r="BB6" s="2">
        <f t="shared" si="0"/>
        <v>45968</v>
      </c>
      <c r="BC6" s="19">
        <f t="shared" si="0"/>
        <v>45969</v>
      </c>
      <c r="BD6" s="2">
        <f t="shared" si="0"/>
        <v>45970</v>
      </c>
      <c r="BE6" s="2">
        <f t="shared" si="0"/>
        <v>45971</v>
      </c>
      <c r="BF6" s="2">
        <f t="shared" si="0"/>
        <v>45972</v>
      </c>
      <c r="BG6" s="2">
        <f t="shared" si="0"/>
        <v>45973</v>
      </c>
      <c r="BH6" s="2">
        <f t="shared" si="0"/>
        <v>45974</v>
      </c>
      <c r="BI6" s="2">
        <f t="shared" si="0"/>
        <v>45975</v>
      </c>
      <c r="BJ6" s="2">
        <f t="shared" si="0"/>
        <v>45976</v>
      </c>
      <c r="BK6" s="18">
        <f t="shared" si="0"/>
        <v>45977</v>
      </c>
      <c r="BL6" s="2">
        <f t="shared" si="0"/>
        <v>45978</v>
      </c>
      <c r="BM6" s="2">
        <f t="shared" si="0"/>
        <v>45979</v>
      </c>
      <c r="BN6" s="2">
        <f t="shared" si="0"/>
        <v>45980</v>
      </c>
      <c r="BO6" s="2">
        <f t="shared" si="0"/>
        <v>45981</v>
      </c>
      <c r="BP6" s="2">
        <f t="shared" si="0"/>
        <v>45982</v>
      </c>
      <c r="BQ6" s="19">
        <f t="shared" si="0"/>
        <v>45983</v>
      </c>
      <c r="BR6" s="2">
        <f t="shared" si="0"/>
        <v>45984</v>
      </c>
      <c r="BS6" s="2">
        <f t="shared" si="0"/>
        <v>45985</v>
      </c>
      <c r="BT6" s="2">
        <f t="shared" si="0"/>
        <v>45986</v>
      </c>
      <c r="BU6" s="2">
        <f t="shared" si="0"/>
        <v>45987</v>
      </c>
      <c r="BV6" s="2">
        <f t="shared" si="0"/>
        <v>45988</v>
      </c>
      <c r="BW6" s="2">
        <f t="shared" si="0"/>
        <v>45989</v>
      </c>
      <c r="BX6" s="2">
        <f t="shared" si="0"/>
        <v>45990</v>
      </c>
      <c r="BY6" s="18">
        <f t="shared" si="0"/>
        <v>45991</v>
      </c>
      <c r="BZ6" s="2">
        <f t="shared" si="0"/>
        <v>45992</v>
      </c>
      <c r="CA6" s="2">
        <f t="shared" si="0"/>
        <v>45993</v>
      </c>
      <c r="CB6" s="2">
        <f t="shared" ref="CB6:CE6" si="1">CA6+1</f>
        <v>45994</v>
      </c>
      <c r="CC6" s="2">
        <f t="shared" si="1"/>
        <v>45995</v>
      </c>
      <c r="CD6" s="2">
        <f t="shared" si="1"/>
        <v>45996</v>
      </c>
      <c r="CE6" s="19">
        <f t="shared" si="1"/>
        <v>45997</v>
      </c>
    </row>
    <row r="7" spans="1:84" s="6" customFormat="1" ht="28" customHeight="1" x14ac:dyDescent="0.35">
      <c r="A7" s="42"/>
      <c r="B7" s="34" t="s">
        <v>26</v>
      </c>
      <c r="C7" s="34" t="s">
        <v>25</v>
      </c>
      <c r="D7" s="34" t="s">
        <v>4</v>
      </c>
      <c r="E7" s="34" t="s">
        <v>5</v>
      </c>
      <c r="F7" s="34" t="s">
        <v>21</v>
      </c>
      <c r="G7" s="34" t="s">
        <v>24</v>
      </c>
      <c r="H7" s="34" t="s">
        <v>6</v>
      </c>
      <c r="I7" s="23" t="s">
        <v>4</v>
      </c>
      <c r="J7" s="23" t="s">
        <v>5</v>
      </c>
      <c r="K7" s="23" t="s">
        <v>7</v>
      </c>
      <c r="L7" s="23" t="s">
        <v>24</v>
      </c>
      <c r="M7" s="23" t="s">
        <v>6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3"/>
      <c r="B8" s="26"/>
      <c r="C8" s="27"/>
      <c r="D8" s="13"/>
      <c r="E8" s="13"/>
      <c r="F8" s="12"/>
      <c r="G8" s="12"/>
      <c r="H8" s="21"/>
      <c r="I8" s="13"/>
      <c r="J8" s="22"/>
      <c r="K8" s="12"/>
      <c r="L8" s="29"/>
      <c r="M8" s="24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4" x14ac:dyDescent="0.35">
      <c r="B9" s="16" t="s">
        <v>73</v>
      </c>
      <c r="C9" s="30" t="s">
        <v>27</v>
      </c>
      <c r="D9" s="31">
        <f>M1</f>
        <v>45927</v>
      </c>
      <c r="E9" s="13">
        <f>D9+F9</f>
        <v>45928</v>
      </c>
      <c r="F9" s="28">
        <v>1</v>
      </c>
      <c r="G9" s="35"/>
      <c r="H9" s="21">
        <f ca="1">IF(D9="",0,IF(D9&gt;TODAY(),0,IF(E9&lt;TODAY(),1,(TODAY()-D9)/(E9-D9))))</f>
        <v>1</v>
      </c>
      <c r="I9" s="1">
        <v>45927</v>
      </c>
      <c r="J9" s="13">
        <v>45928</v>
      </c>
      <c r="K9" s="12"/>
      <c r="L9" s="35"/>
      <c r="M9" s="24">
        <v>1</v>
      </c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</row>
    <row r="10" spans="1:84" ht="15.5" x14ac:dyDescent="0.35">
      <c r="B10" s="16" t="s">
        <v>75</v>
      </c>
      <c r="C10" s="16" t="s">
        <v>74</v>
      </c>
      <c r="D10" s="31">
        <f>E9</f>
        <v>45928</v>
      </c>
      <c r="E10" s="13">
        <f>D10+F10</f>
        <v>45930</v>
      </c>
      <c r="F10" s="28">
        <v>2</v>
      </c>
      <c r="G10" s="37" t="s">
        <v>51</v>
      </c>
      <c r="H10" s="21">
        <v>1</v>
      </c>
      <c r="I10" s="1">
        <v>45928</v>
      </c>
      <c r="J10" s="13">
        <v>45930</v>
      </c>
      <c r="K10" s="28">
        <v>1</v>
      </c>
      <c r="L10" s="37" t="s">
        <v>51</v>
      </c>
      <c r="M10" s="24">
        <v>1</v>
      </c>
      <c r="N10" s="1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</row>
    <row r="11" spans="1:84" ht="15.5" x14ac:dyDescent="0.35">
      <c r="A11" s="43"/>
      <c r="B11" s="16"/>
      <c r="C11" s="16" t="s">
        <v>28</v>
      </c>
      <c r="D11" s="31">
        <f t="shared" ref="D11:D18" si="4">E10</f>
        <v>45930</v>
      </c>
      <c r="E11" s="13">
        <f t="shared" ref="E11:E20" si="5">D11+F11</f>
        <v>45931</v>
      </c>
      <c r="F11" s="28">
        <v>1</v>
      </c>
      <c r="G11" s="37" t="s">
        <v>51</v>
      </c>
      <c r="H11" s="21">
        <v>1</v>
      </c>
      <c r="I11" s="31">
        <v>45930</v>
      </c>
      <c r="J11" s="13">
        <v>45931</v>
      </c>
      <c r="K11" s="28">
        <v>2</v>
      </c>
      <c r="L11" s="38" t="s">
        <v>52</v>
      </c>
      <c r="M11" s="24">
        <v>1</v>
      </c>
      <c r="N11" s="1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</row>
    <row r="12" spans="1:84" x14ac:dyDescent="0.35">
      <c r="A12" s="43"/>
      <c r="B12" s="16"/>
      <c r="C12" s="16" t="s">
        <v>30</v>
      </c>
      <c r="D12" s="31">
        <f t="shared" si="4"/>
        <v>45931</v>
      </c>
      <c r="E12" s="13">
        <f t="shared" si="5"/>
        <v>45933</v>
      </c>
      <c r="F12" s="28">
        <v>2</v>
      </c>
      <c r="G12" s="36"/>
      <c r="H12" s="21"/>
      <c r="I12" s="13">
        <v>45931</v>
      </c>
      <c r="J12" s="13">
        <v>45933</v>
      </c>
      <c r="K12" s="28"/>
      <c r="L12" s="36"/>
      <c r="M12" s="24"/>
      <c r="N12" s="1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</row>
    <row r="13" spans="1:84" x14ac:dyDescent="0.35">
      <c r="A13" s="43"/>
      <c r="B13" s="16" t="s">
        <v>75</v>
      </c>
      <c r="C13" s="16" t="s">
        <v>76</v>
      </c>
      <c r="D13" s="31">
        <f t="shared" si="4"/>
        <v>45933</v>
      </c>
      <c r="E13" s="13">
        <f t="shared" si="5"/>
        <v>45935</v>
      </c>
      <c r="F13" s="28">
        <v>2</v>
      </c>
      <c r="G13" s="39" t="s">
        <v>53</v>
      </c>
      <c r="H13" s="21">
        <f t="shared" ref="H13" ca="1" si="6">IF(D13="",0,IF(D13&gt;TODAY(),0,IF(E13&lt;TODAY(),1,(TODAY()-D13)/(E13-D13))))</f>
        <v>1</v>
      </c>
      <c r="I13" s="31">
        <v>45933</v>
      </c>
      <c r="J13" s="13">
        <v>45935</v>
      </c>
      <c r="K13" s="28"/>
      <c r="L13" s="35"/>
      <c r="M13" s="24">
        <v>1</v>
      </c>
      <c r="N13" s="1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</row>
    <row r="14" spans="1:84" x14ac:dyDescent="0.35">
      <c r="A14" s="43"/>
      <c r="B14" s="16"/>
      <c r="C14" s="16" t="s">
        <v>31</v>
      </c>
      <c r="D14" s="31">
        <f t="shared" si="4"/>
        <v>45935</v>
      </c>
      <c r="E14" s="13">
        <f t="shared" si="5"/>
        <v>45937.2</v>
      </c>
      <c r="F14" s="28">
        <v>2.2000000000000002</v>
      </c>
      <c r="G14" s="39" t="s">
        <v>53</v>
      </c>
      <c r="H14" s="21">
        <f ca="1">IF(D14="",0,IF(D14&gt;TODAY(),0,IF(E14&lt;TODAY(),1,(TODAY()-D14)/(E14-D14))))</f>
        <v>1</v>
      </c>
      <c r="I14" s="13">
        <v>45935</v>
      </c>
      <c r="J14" s="13">
        <v>45937</v>
      </c>
      <c r="K14" s="28"/>
      <c r="L14" s="35"/>
      <c r="M14" s="24">
        <v>1</v>
      </c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</row>
    <row r="15" spans="1:84" x14ac:dyDescent="0.35">
      <c r="A15" s="43"/>
      <c r="B15" s="16"/>
      <c r="C15" s="16" t="s">
        <v>32</v>
      </c>
      <c r="D15" s="31">
        <f t="shared" si="4"/>
        <v>45937.2</v>
      </c>
      <c r="E15" s="13">
        <f t="shared" si="5"/>
        <v>45939.6</v>
      </c>
      <c r="F15" s="28">
        <v>2.4</v>
      </c>
      <c r="G15" s="39" t="s">
        <v>53</v>
      </c>
      <c r="H15" s="21"/>
      <c r="I15" s="13">
        <v>45937</v>
      </c>
      <c r="J15" s="13">
        <v>45939</v>
      </c>
      <c r="K15" s="28"/>
      <c r="L15" s="36"/>
      <c r="M15" s="24">
        <v>0.9</v>
      </c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</row>
    <row r="16" spans="1:84" x14ac:dyDescent="0.35">
      <c r="A16" s="43"/>
      <c r="B16" s="16"/>
      <c r="C16" s="16" t="s">
        <v>33</v>
      </c>
      <c r="D16" s="31">
        <f t="shared" si="4"/>
        <v>45939.6</v>
      </c>
      <c r="E16" s="13">
        <f t="shared" si="5"/>
        <v>45942.2</v>
      </c>
      <c r="F16" s="28">
        <v>2.6</v>
      </c>
      <c r="G16" s="39" t="s">
        <v>53</v>
      </c>
      <c r="H16" s="21">
        <f t="shared" ref="H16:H39" ca="1" si="7">IF(D16="",0,IF(D16&gt;TODAY(),0,IF(E16&lt;TODAY(),1,(TODAY()-D16)/(E16-D16))))</f>
        <v>1</v>
      </c>
      <c r="I16" s="13">
        <v>45939</v>
      </c>
      <c r="J16" s="13">
        <v>45942</v>
      </c>
      <c r="K16" s="28"/>
      <c r="L16" s="35"/>
      <c r="M16" s="24">
        <v>0.75</v>
      </c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</row>
    <row r="17" spans="1:83" x14ac:dyDescent="0.35">
      <c r="A17" s="43"/>
      <c r="B17" s="16"/>
      <c r="C17" s="16" t="s">
        <v>34</v>
      </c>
      <c r="D17" s="31">
        <f t="shared" si="4"/>
        <v>45942.2</v>
      </c>
      <c r="E17" s="13">
        <f t="shared" si="5"/>
        <v>45945</v>
      </c>
      <c r="F17" s="28">
        <v>2.8</v>
      </c>
      <c r="G17" s="39" t="s">
        <v>53</v>
      </c>
      <c r="H17" s="21">
        <f t="shared" ca="1" si="7"/>
        <v>1</v>
      </c>
      <c r="I17" s="13">
        <v>45942</v>
      </c>
      <c r="J17" s="13">
        <v>45945</v>
      </c>
      <c r="K17" s="28"/>
      <c r="L17" s="35"/>
      <c r="M17" s="24">
        <v>0.75</v>
      </c>
      <c r="N17" s="1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</row>
    <row r="18" spans="1:83" x14ac:dyDescent="0.35">
      <c r="A18" s="43"/>
      <c r="B18" s="16"/>
      <c r="C18" s="16" t="s">
        <v>35</v>
      </c>
      <c r="D18" s="31">
        <f t="shared" si="4"/>
        <v>45945</v>
      </c>
      <c r="E18" s="13">
        <f t="shared" si="5"/>
        <v>45948</v>
      </c>
      <c r="F18" s="28">
        <v>3</v>
      </c>
      <c r="G18" s="39" t="s">
        <v>53</v>
      </c>
      <c r="H18" s="21"/>
      <c r="I18" s="13">
        <v>45945</v>
      </c>
      <c r="J18" s="13">
        <v>45948</v>
      </c>
      <c r="K18" s="28"/>
      <c r="L18" s="36"/>
      <c r="M18" s="24">
        <v>0.75</v>
      </c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</row>
    <row r="19" spans="1:83" x14ac:dyDescent="0.35">
      <c r="A19" s="43"/>
      <c r="B19" s="16"/>
      <c r="C19" s="16" t="s">
        <v>36</v>
      </c>
      <c r="D19" s="31"/>
      <c r="E19" s="13"/>
      <c r="F19" s="28"/>
      <c r="G19" s="36"/>
      <c r="H19" s="21"/>
      <c r="I19" s="13"/>
      <c r="J19" s="13"/>
      <c r="K19" s="28"/>
      <c r="L19" s="36"/>
      <c r="M19" s="24"/>
      <c r="N19" s="1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</row>
    <row r="20" spans="1:83" x14ac:dyDescent="0.35">
      <c r="A20" s="43"/>
      <c r="B20" s="16" t="s">
        <v>73</v>
      </c>
      <c r="C20" s="30" t="s">
        <v>37</v>
      </c>
      <c r="D20" s="1">
        <f>E18</f>
        <v>45948</v>
      </c>
      <c r="E20" s="13">
        <f t="shared" si="5"/>
        <v>45949</v>
      </c>
      <c r="F20" s="28">
        <v>1</v>
      </c>
      <c r="G20" s="39" t="s">
        <v>53</v>
      </c>
      <c r="H20" s="21">
        <f t="shared" ca="1" si="7"/>
        <v>1</v>
      </c>
      <c r="I20" s="13">
        <v>45948</v>
      </c>
      <c r="J20" s="13">
        <v>45949</v>
      </c>
      <c r="K20" s="28"/>
      <c r="L20" s="35"/>
      <c r="M20" s="24">
        <v>0.75</v>
      </c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</row>
    <row r="21" spans="1:83" x14ac:dyDescent="0.35">
      <c r="A21" s="43"/>
      <c r="B21" s="16" t="s">
        <v>75</v>
      </c>
      <c r="C21" s="16" t="s">
        <v>77</v>
      </c>
      <c r="D21" s="31">
        <f>E20</f>
        <v>45949</v>
      </c>
      <c r="E21" s="13">
        <f>D21+F21</f>
        <v>45951</v>
      </c>
      <c r="F21" s="28">
        <v>2</v>
      </c>
      <c r="G21" s="39" t="s">
        <v>53</v>
      </c>
      <c r="H21" s="21">
        <f t="shared" ca="1" si="7"/>
        <v>1</v>
      </c>
      <c r="I21" s="13">
        <v>45949</v>
      </c>
      <c r="J21" s="13">
        <v>45951</v>
      </c>
      <c r="K21" s="28"/>
      <c r="L21" s="35"/>
      <c r="M21" s="24">
        <v>0.75</v>
      </c>
      <c r="N21" s="1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</row>
    <row r="22" spans="1:83" x14ac:dyDescent="0.35">
      <c r="A22" s="43"/>
      <c r="B22" s="16"/>
      <c r="C22" s="16" t="s">
        <v>38</v>
      </c>
      <c r="D22" s="31">
        <f t="shared" ref="D22:D33" si="8">E21</f>
        <v>45951</v>
      </c>
      <c r="E22" s="13">
        <f t="shared" ref="E22:E39" si="9">D22+F22</f>
        <v>45952</v>
      </c>
      <c r="F22" s="28">
        <v>1</v>
      </c>
      <c r="G22" s="39" t="s">
        <v>53</v>
      </c>
      <c r="H22" s="21">
        <f t="shared" ca="1" si="7"/>
        <v>1</v>
      </c>
      <c r="I22" s="13">
        <v>45951</v>
      </c>
      <c r="J22" s="13">
        <v>45952</v>
      </c>
      <c r="K22" s="28"/>
      <c r="L22" s="36"/>
      <c r="M22" s="24">
        <v>0.75</v>
      </c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</row>
    <row r="23" spans="1:83" x14ac:dyDescent="0.35">
      <c r="A23" s="43"/>
      <c r="B23" s="16"/>
      <c r="C23" s="16" t="s">
        <v>39</v>
      </c>
      <c r="D23" s="31">
        <f t="shared" si="8"/>
        <v>45952</v>
      </c>
      <c r="E23" s="13">
        <f t="shared" si="9"/>
        <v>45954</v>
      </c>
      <c r="F23" s="28">
        <v>2</v>
      </c>
      <c r="G23" s="39" t="s">
        <v>53</v>
      </c>
      <c r="H23" s="21">
        <f t="shared" ca="1" si="7"/>
        <v>1</v>
      </c>
      <c r="I23" s="13">
        <v>45952</v>
      </c>
      <c r="J23" s="13">
        <v>45954</v>
      </c>
      <c r="K23" s="28"/>
      <c r="L23" s="35"/>
      <c r="M23" s="24">
        <v>0.75</v>
      </c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</row>
    <row r="24" spans="1:83" x14ac:dyDescent="0.35">
      <c r="A24" s="43"/>
      <c r="B24" s="16" t="s">
        <v>75</v>
      </c>
      <c r="C24" s="16" t="s">
        <v>40</v>
      </c>
      <c r="D24" s="31">
        <f t="shared" si="8"/>
        <v>45954</v>
      </c>
      <c r="E24" s="13">
        <f t="shared" si="9"/>
        <v>45955</v>
      </c>
      <c r="F24" s="28">
        <v>1</v>
      </c>
      <c r="G24" s="39" t="s">
        <v>53</v>
      </c>
      <c r="H24" s="21">
        <f t="shared" ca="1" si="7"/>
        <v>1</v>
      </c>
      <c r="I24" s="13">
        <v>45954</v>
      </c>
      <c r="J24" s="13">
        <v>45955</v>
      </c>
      <c r="K24" s="28"/>
      <c r="L24" s="35"/>
      <c r="M24" s="24">
        <v>0.75</v>
      </c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</row>
    <row r="25" spans="1:83" x14ac:dyDescent="0.35">
      <c r="A25" s="43"/>
      <c r="B25" s="16"/>
      <c r="C25" s="16" t="s">
        <v>42</v>
      </c>
      <c r="D25" s="31">
        <f t="shared" si="8"/>
        <v>45955</v>
      </c>
      <c r="E25" s="13">
        <f t="shared" si="9"/>
        <v>45957</v>
      </c>
      <c r="F25" s="28">
        <v>2</v>
      </c>
      <c r="G25" s="39" t="s">
        <v>53</v>
      </c>
      <c r="H25" s="21">
        <f t="shared" ca="1" si="7"/>
        <v>1</v>
      </c>
      <c r="I25" s="13">
        <v>45955</v>
      </c>
      <c r="J25" s="13">
        <v>45957</v>
      </c>
      <c r="K25" s="28"/>
      <c r="L25" s="35"/>
      <c r="M25" s="24">
        <v>0.75</v>
      </c>
      <c r="N25" s="1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</row>
    <row r="26" spans="1:83" x14ac:dyDescent="0.35">
      <c r="A26" s="43"/>
      <c r="B26" s="16"/>
      <c r="C26" s="16" t="s">
        <v>43</v>
      </c>
      <c r="D26" s="31">
        <f t="shared" si="8"/>
        <v>45957</v>
      </c>
      <c r="E26" s="13">
        <f t="shared" si="9"/>
        <v>45958</v>
      </c>
      <c r="F26" s="28">
        <v>1</v>
      </c>
      <c r="G26" s="39" t="s">
        <v>53</v>
      </c>
      <c r="H26" s="21">
        <f t="shared" ca="1" si="7"/>
        <v>1</v>
      </c>
      <c r="I26" s="13">
        <v>45957</v>
      </c>
      <c r="J26" s="13">
        <v>45958</v>
      </c>
      <c r="K26" s="28"/>
      <c r="L26" s="35"/>
      <c r="M26" s="24">
        <v>0.75</v>
      </c>
      <c r="N26" s="1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</row>
    <row r="27" spans="1:83" x14ac:dyDescent="0.35">
      <c r="A27" s="43"/>
      <c r="B27" s="16"/>
      <c r="C27" s="16" t="s">
        <v>44</v>
      </c>
      <c r="D27" s="31">
        <f t="shared" si="8"/>
        <v>45958</v>
      </c>
      <c r="E27" s="13">
        <f t="shared" si="9"/>
        <v>45960</v>
      </c>
      <c r="F27" s="28">
        <v>2</v>
      </c>
      <c r="G27" s="39" t="s">
        <v>53</v>
      </c>
      <c r="H27" s="21">
        <f t="shared" ca="1" si="7"/>
        <v>1</v>
      </c>
      <c r="I27" s="13">
        <v>45958</v>
      </c>
      <c r="J27" s="13">
        <v>45960</v>
      </c>
      <c r="K27" s="28"/>
      <c r="L27" s="35"/>
      <c r="M27" s="24">
        <v>0.75</v>
      </c>
      <c r="N27" s="1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</row>
    <row r="28" spans="1:83" x14ac:dyDescent="0.35">
      <c r="A28" s="43"/>
      <c r="B28" s="16"/>
      <c r="C28" s="16" t="s">
        <v>43</v>
      </c>
      <c r="D28" s="31">
        <f t="shared" si="8"/>
        <v>45960</v>
      </c>
      <c r="E28" s="13">
        <f t="shared" si="9"/>
        <v>45961</v>
      </c>
      <c r="F28" s="28">
        <v>1</v>
      </c>
      <c r="G28" s="35"/>
      <c r="H28" s="21">
        <f t="shared" ca="1" si="7"/>
        <v>1</v>
      </c>
      <c r="I28" s="13">
        <v>45960</v>
      </c>
      <c r="J28" s="13">
        <v>45961</v>
      </c>
      <c r="K28" s="28"/>
      <c r="L28" s="35"/>
      <c r="M28" s="24">
        <v>0</v>
      </c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</row>
    <row r="29" spans="1:83" x14ac:dyDescent="0.35">
      <c r="A29" s="43"/>
      <c r="B29" s="16"/>
      <c r="C29" s="16" t="s">
        <v>41</v>
      </c>
      <c r="D29" s="31">
        <f>E28</f>
        <v>45961</v>
      </c>
      <c r="E29" s="13">
        <f>D29+F29</f>
        <v>45963</v>
      </c>
      <c r="F29" s="28">
        <v>2</v>
      </c>
      <c r="G29" s="35"/>
      <c r="H29" s="21">
        <f t="shared" ca="1" si="7"/>
        <v>1</v>
      </c>
      <c r="I29" s="13">
        <v>45961</v>
      </c>
      <c r="J29" s="13">
        <v>45963</v>
      </c>
      <c r="K29" s="28"/>
      <c r="L29" s="35"/>
      <c r="M29" s="24">
        <v>0</v>
      </c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</row>
    <row r="30" spans="1:83" x14ac:dyDescent="0.35">
      <c r="A30" s="43"/>
      <c r="B30" s="16"/>
      <c r="C30" s="16" t="s">
        <v>45</v>
      </c>
      <c r="D30" s="31">
        <f t="shared" si="8"/>
        <v>45963</v>
      </c>
      <c r="E30" s="13">
        <f t="shared" si="9"/>
        <v>45964</v>
      </c>
      <c r="F30" s="28">
        <v>1</v>
      </c>
      <c r="G30" s="35"/>
      <c r="H30" s="21">
        <f t="shared" ca="1" si="7"/>
        <v>1</v>
      </c>
      <c r="I30" s="13">
        <v>45963</v>
      </c>
      <c r="J30" s="13">
        <v>45964</v>
      </c>
      <c r="K30" s="28"/>
      <c r="L30" s="35"/>
      <c r="M30" s="24">
        <v>0</v>
      </c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x14ac:dyDescent="0.35">
      <c r="A31" s="43"/>
      <c r="B31" s="16"/>
      <c r="C31" s="16" t="s">
        <v>42</v>
      </c>
      <c r="D31" s="31">
        <f t="shared" si="8"/>
        <v>45964</v>
      </c>
      <c r="E31" s="13">
        <f t="shared" si="9"/>
        <v>45966</v>
      </c>
      <c r="F31" s="28">
        <v>2</v>
      </c>
      <c r="G31" s="35"/>
      <c r="H31" s="21">
        <f t="shared" ca="1" si="7"/>
        <v>1</v>
      </c>
      <c r="I31" s="13"/>
      <c r="J31" s="13"/>
      <c r="K31" s="28"/>
      <c r="L31" s="35"/>
      <c r="M31" s="24">
        <v>0</v>
      </c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x14ac:dyDescent="0.35">
      <c r="A32" s="43"/>
      <c r="B32" s="16"/>
      <c r="C32" s="16" t="s">
        <v>43</v>
      </c>
      <c r="D32" s="31">
        <f t="shared" si="8"/>
        <v>45966</v>
      </c>
      <c r="E32" s="13">
        <f t="shared" si="9"/>
        <v>45979</v>
      </c>
      <c r="F32" s="28">
        <v>13</v>
      </c>
      <c r="G32" s="35"/>
      <c r="H32" s="21">
        <f t="shared" ca="1" si="7"/>
        <v>1</v>
      </c>
      <c r="I32" s="13"/>
      <c r="J32" s="13"/>
      <c r="K32" s="28"/>
      <c r="L32" s="35"/>
      <c r="M32" s="24">
        <v>0</v>
      </c>
      <c r="N32" s="1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1:83" x14ac:dyDescent="0.35">
      <c r="A33" s="43"/>
      <c r="B33" s="16"/>
      <c r="C33" s="16" t="s">
        <v>44</v>
      </c>
      <c r="D33" s="31">
        <f t="shared" si="8"/>
        <v>45979</v>
      </c>
      <c r="E33" s="13">
        <f t="shared" si="9"/>
        <v>45981</v>
      </c>
      <c r="F33" s="28">
        <v>2</v>
      </c>
      <c r="G33" s="35"/>
      <c r="H33" s="21">
        <f t="shared" ca="1" si="7"/>
        <v>1</v>
      </c>
      <c r="I33" s="13"/>
      <c r="J33" s="13"/>
      <c r="K33" s="28"/>
      <c r="L33" s="35"/>
      <c r="M33" s="24">
        <v>0</v>
      </c>
      <c r="N33" s="1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1:83" x14ac:dyDescent="0.35">
      <c r="A34" s="43"/>
      <c r="B34" s="16"/>
      <c r="C34" s="16" t="s">
        <v>46</v>
      </c>
      <c r="D34" s="1">
        <v>45981</v>
      </c>
      <c r="E34" s="13">
        <f t="shared" si="9"/>
        <v>45984</v>
      </c>
      <c r="F34" s="28">
        <v>3</v>
      </c>
      <c r="G34" s="35"/>
      <c r="H34" s="21">
        <f t="shared" ca="1" si="7"/>
        <v>1</v>
      </c>
      <c r="I34" s="13"/>
      <c r="J34" s="13"/>
      <c r="K34" s="28"/>
      <c r="L34" s="35"/>
      <c r="M34" s="24">
        <v>0</v>
      </c>
      <c r="N34" s="1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1:83" x14ac:dyDescent="0.35">
      <c r="A35" s="43"/>
      <c r="B35" s="16"/>
      <c r="C35" s="16" t="s">
        <v>42</v>
      </c>
      <c r="D35" s="13"/>
      <c r="E35" s="13"/>
      <c r="F35" s="28"/>
      <c r="G35" s="35"/>
      <c r="H35" s="21">
        <f t="shared" ca="1" si="7"/>
        <v>0</v>
      </c>
      <c r="I35" s="13"/>
      <c r="J35" s="13"/>
      <c r="K35" s="28"/>
      <c r="L35" s="35"/>
      <c r="M35" s="24">
        <v>0</v>
      </c>
      <c r="N35" s="1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1:83" x14ac:dyDescent="0.35">
      <c r="A36" s="43"/>
      <c r="B36" s="16"/>
      <c r="C36" s="16" t="s">
        <v>43</v>
      </c>
      <c r="D36" s="1">
        <v>45980</v>
      </c>
      <c r="E36" s="13">
        <f t="shared" si="9"/>
        <v>45981</v>
      </c>
      <c r="F36" s="28">
        <v>1</v>
      </c>
      <c r="G36" s="35"/>
      <c r="H36" s="21">
        <f t="shared" ca="1" si="7"/>
        <v>1</v>
      </c>
      <c r="I36" s="13"/>
      <c r="J36" s="13"/>
      <c r="K36" s="28"/>
      <c r="L36" s="35"/>
      <c r="M36" s="24">
        <v>0</v>
      </c>
      <c r="N36" s="1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1:83" x14ac:dyDescent="0.35">
      <c r="A37" s="43"/>
      <c r="B37" s="16"/>
      <c r="C37" s="16" t="s">
        <v>44</v>
      </c>
      <c r="D37" s="31">
        <f t="shared" ref="D37" si="10">E36</f>
        <v>45981</v>
      </c>
      <c r="E37" s="13">
        <f t="shared" si="9"/>
        <v>45983</v>
      </c>
      <c r="F37" s="28">
        <v>2</v>
      </c>
      <c r="G37" s="35"/>
      <c r="H37" s="21">
        <f t="shared" ca="1" si="7"/>
        <v>1</v>
      </c>
      <c r="I37" s="13"/>
      <c r="J37" s="13"/>
      <c r="K37" s="28"/>
      <c r="L37" s="35"/>
      <c r="M37" s="24">
        <v>0</v>
      </c>
      <c r="N37" s="1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</row>
    <row r="38" spans="1:83" x14ac:dyDescent="0.35">
      <c r="A38" s="43"/>
      <c r="B38" s="16" t="s">
        <v>75</v>
      </c>
      <c r="C38" s="16" t="s">
        <v>78</v>
      </c>
      <c r="D38" s="1">
        <v>45981</v>
      </c>
      <c r="E38" s="13">
        <f t="shared" si="9"/>
        <v>45984</v>
      </c>
      <c r="F38" s="28">
        <v>3</v>
      </c>
      <c r="G38" s="35"/>
      <c r="H38" s="21">
        <f t="shared" ca="1" si="7"/>
        <v>1</v>
      </c>
      <c r="I38" s="13"/>
      <c r="J38" s="13"/>
      <c r="K38" s="28"/>
      <c r="L38" s="35"/>
      <c r="M38" s="24">
        <v>0</v>
      </c>
      <c r="N38" s="1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</row>
    <row r="39" spans="1:83" x14ac:dyDescent="0.35">
      <c r="A39" s="43"/>
      <c r="B39" s="16"/>
      <c r="C39" s="16" t="s">
        <v>47</v>
      </c>
      <c r="D39" s="1">
        <v>45982</v>
      </c>
      <c r="E39" s="13">
        <f t="shared" si="9"/>
        <v>45986</v>
      </c>
      <c r="F39" s="28">
        <v>4</v>
      </c>
      <c r="G39" s="35"/>
      <c r="H39" s="21">
        <f t="shared" ca="1" si="7"/>
        <v>1</v>
      </c>
      <c r="I39" s="13"/>
      <c r="J39" s="13"/>
      <c r="K39" s="28"/>
      <c r="L39" s="35"/>
      <c r="M39" s="24">
        <v>1</v>
      </c>
      <c r="N39" s="1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</row>
    <row r="40" spans="1:83" x14ac:dyDescent="0.35">
      <c r="A40" s="43"/>
      <c r="B40" s="16"/>
      <c r="C40" s="16" t="s">
        <v>48</v>
      </c>
      <c r="D40" s="13"/>
      <c r="E40" s="13"/>
      <c r="F40" s="28"/>
      <c r="G40" s="28"/>
      <c r="H40" s="21"/>
      <c r="I40" s="13"/>
      <c r="J40" s="13"/>
      <c r="K40" s="28"/>
      <c r="L40" s="29"/>
      <c r="M40" s="24"/>
      <c r="N40" s="1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</row>
    <row r="41" spans="1:83" x14ac:dyDescent="0.35">
      <c r="A41" s="43"/>
      <c r="B41" s="16"/>
      <c r="C41" s="16" t="s">
        <v>49</v>
      </c>
      <c r="D41" s="13"/>
      <c r="E41" s="13"/>
      <c r="F41" s="28"/>
      <c r="G41" s="29"/>
      <c r="H41" s="21"/>
      <c r="I41" s="13"/>
      <c r="J41" s="13"/>
      <c r="K41" s="28"/>
      <c r="L41" s="29"/>
      <c r="M41" s="24"/>
      <c r="N41" s="12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</row>
    <row r="42" spans="1:83" x14ac:dyDescent="0.35">
      <c r="A42" s="43"/>
      <c r="B42" s="16" t="s">
        <v>75</v>
      </c>
      <c r="C42" s="16" t="s">
        <v>50</v>
      </c>
      <c r="D42" s="13"/>
      <c r="E42" s="13"/>
      <c r="F42" s="28"/>
      <c r="G42" s="28"/>
      <c r="H42" s="21"/>
      <c r="I42" s="13"/>
      <c r="J42" s="13"/>
      <c r="K42" s="28"/>
      <c r="L42" s="29"/>
      <c r="M42" s="24"/>
      <c r="N42" s="1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</row>
    <row r="43" spans="1:83" x14ac:dyDescent="0.35">
      <c r="A43" s="43"/>
      <c r="B43" s="16"/>
      <c r="C43" s="16"/>
      <c r="D43" s="13"/>
      <c r="E43" s="13"/>
      <c r="F43" s="28"/>
      <c r="G43" s="28"/>
      <c r="H43" s="21"/>
      <c r="I43" s="13"/>
      <c r="J43" s="13"/>
      <c r="K43" s="28"/>
      <c r="L43" s="29"/>
      <c r="M43" s="24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</row>
    <row r="44" spans="1:83" x14ac:dyDescent="0.35">
      <c r="A44" s="43"/>
      <c r="B44" s="16"/>
      <c r="C44" s="16"/>
      <c r="D44" s="13"/>
      <c r="E44" s="13"/>
      <c r="F44" s="28"/>
      <c r="G44" s="29"/>
      <c r="H44" s="21"/>
      <c r="I44" s="13"/>
      <c r="J44" s="13"/>
      <c r="K44" s="28"/>
      <c r="L44" s="29"/>
      <c r="M44" s="24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</row>
    <row r="45" spans="1:83" x14ac:dyDescent="0.35">
      <c r="A45" s="43"/>
      <c r="B45" s="16" t="str">
        <f t="shared" ref="B45" si="11">IF(C45="","",IF(C45&gt;=$H$6,"Ongoing","Legado"))</f>
        <v/>
      </c>
      <c r="C45" s="27"/>
      <c r="D45" s="13"/>
      <c r="E45" s="13"/>
      <c r="F45" s="12"/>
      <c r="G45" s="12"/>
      <c r="H45" s="21"/>
      <c r="I45" s="12"/>
      <c r="J45" s="12"/>
      <c r="K45" s="12"/>
      <c r="L45" s="29"/>
      <c r="M45" s="24"/>
      <c r="N45" s="1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7" spans="1:83" x14ac:dyDescent="0.35">
      <c r="D47" s="1"/>
    </row>
  </sheetData>
  <mergeCells count="2">
    <mergeCell ref="C2:D2"/>
    <mergeCell ref="C3:D5"/>
  </mergeCells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{3D69B227-E68B-4E4E-BBFB-614FD451767B}</x14:id>
        </ext>
      </extLst>
    </cfRule>
  </conditionalFormatting>
  <conditionalFormatting sqref="H40:H45 H8:H3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{7850953F-7851-48E2-8EC8-6DB417D11DF5}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{720A7E6E-C3D8-496F-97BA-2D0F9C5E0349}</x14:id>
        </ext>
      </extLst>
    </cfRule>
  </conditionalFormatting>
  <conditionalFormatting sqref="M40:M45 M8:M3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{67F83DAC-EAEE-469C-9E9B-A2125BB26911}</x14:id>
        </ext>
      </extLst>
    </cfRule>
  </conditionalFormatting>
  <conditionalFormatting sqref="N6:CE45">
    <cfRule type="expression" dxfId="14" priority="4">
      <formula>N$6=TODAY()</formula>
    </cfRule>
  </conditionalFormatting>
  <conditionalFormatting sqref="N7:CE45">
    <cfRule type="expression" dxfId="12" priority="5">
      <formula>OR(WEEKDAY(N$6)=1,WEEKDAY(N$6)=7)</formula>
    </cfRule>
  </conditionalFormatting>
  <conditionalFormatting sqref="N8:CE45">
    <cfRule type="expression" dxfId="11" priority="6">
      <formula>AND($I8&lt;&gt;"",$J8&lt;&gt;"",N$6&lt;=data_progresso,N$6&gt;=$I8,N$6&lt;=$J8)</formula>
    </cfRule>
    <cfRule type="expression" dxfId="10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69B227-E68B-4E4E-BBFB-614FD451767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7850953F-7851-48E2-8EC8-6DB417D11DF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720A7E6E-C3D8-496F-97BA-2D0F9C5E03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67F83DAC-EAEE-469C-9E9B-A2125BB2691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3" id="{BB080B1F-386D-4027-ACE5-15738FB315B7}">
            <xm:f>MATCH(N$6,Feriados!$B:$B,0)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5F71-159D-45B9-9893-7E0DCF6B2130}">
  <dimension ref="A1:CF47"/>
  <sheetViews>
    <sheetView showGridLines="0" zoomScale="57" zoomScaleNormal="57" workbookViewId="0">
      <selection activeCell="I2" sqref="I2:I4"/>
    </sheetView>
  </sheetViews>
  <sheetFormatPr defaultRowHeight="14.5" outlineLevelCol="1" x14ac:dyDescent="0.35"/>
  <cols>
    <col min="1" max="1" width="7.7265625" style="41" bestFit="1" customWidth="1"/>
    <col min="2" max="2" width="9.179687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9" width="18.26953125" customWidth="1"/>
    <col min="10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5" customFormat="1" ht="13.5" customHeight="1" x14ac:dyDescent="0.35">
      <c r="A1" s="40"/>
      <c r="B1" s="44"/>
      <c r="C1" s="53"/>
      <c r="D1" s="44"/>
      <c r="E1" s="47" t="s">
        <v>54</v>
      </c>
      <c r="F1" s="48"/>
      <c r="G1" s="47" t="s">
        <v>57</v>
      </c>
      <c r="I1" s="54" t="s">
        <v>90</v>
      </c>
      <c r="J1" s="54" t="s">
        <v>91</v>
      </c>
      <c r="L1" s="52" t="s">
        <v>8</v>
      </c>
      <c r="M1" s="51">
        <v>45942</v>
      </c>
      <c r="N1" s="46"/>
    </row>
    <row r="2" spans="1:84" s="45" customFormat="1" ht="21" x14ac:dyDescent="0.5">
      <c r="A2" s="40"/>
      <c r="B2" s="44"/>
      <c r="C2" s="57" t="s">
        <v>60</v>
      </c>
      <c r="D2" s="57"/>
      <c r="E2" s="47" t="s">
        <v>55</v>
      </c>
      <c r="F2" s="48"/>
      <c r="G2" s="47" t="s">
        <v>58</v>
      </c>
      <c r="I2" s="45" t="s">
        <v>93</v>
      </c>
      <c r="J2" s="54" t="s">
        <v>84</v>
      </c>
      <c r="L2" s="52" t="s">
        <v>9</v>
      </c>
      <c r="M2" s="52">
        <v>1</v>
      </c>
      <c r="N2" s="46"/>
    </row>
    <row r="3" spans="1:84" s="45" customFormat="1" ht="18" x14ac:dyDescent="0.35">
      <c r="A3" s="54" t="s">
        <v>81</v>
      </c>
      <c r="B3" s="44"/>
      <c r="C3" s="56" t="s">
        <v>64</v>
      </c>
      <c r="D3" s="56"/>
      <c r="E3" s="47" t="s">
        <v>56</v>
      </c>
      <c r="F3" s="48"/>
      <c r="G3" s="47" t="s">
        <v>59</v>
      </c>
      <c r="I3" s="45" t="s">
        <v>94</v>
      </c>
      <c r="J3" s="54" t="s">
        <v>85</v>
      </c>
      <c r="M3" s="52"/>
      <c r="N3" s="46"/>
    </row>
    <row r="4" spans="1:84" s="45" customFormat="1" x14ac:dyDescent="0.35">
      <c r="A4" s="54" t="s">
        <v>82</v>
      </c>
      <c r="B4" s="54" t="s">
        <v>88</v>
      </c>
      <c r="C4" s="56"/>
      <c r="D4" s="56"/>
      <c r="E4" s="47"/>
      <c r="F4" s="48"/>
      <c r="G4" s="47"/>
      <c r="I4" s="45" t="s">
        <v>95</v>
      </c>
      <c r="J4" s="54" t="s">
        <v>86</v>
      </c>
      <c r="M4" s="52"/>
      <c r="N4" s="46"/>
    </row>
    <row r="5" spans="1:84" ht="21.5" customHeight="1" x14ac:dyDescent="0.35">
      <c r="A5" s="54" t="s">
        <v>62</v>
      </c>
      <c r="B5" s="53"/>
      <c r="C5" s="56"/>
      <c r="D5" s="56"/>
      <c r="E5" s="49"/>
      <c r="F5" s="45"/>
      <c r="G5" s="50"/>
      <c r="H5" s="45"/>
      <c r="I5" s="45"/>
      <c r="J5" s="45"/>
      <c r="K5" s="45"/>
      <c r="L5" s="45"/>
      <c r="M5" s="45"/>
      <c r="N5" s="7">
        <f>N6</f>
        <v>45942</v>
      </c>
      <c r="O5" s="8"/>
      <c r="P5" s="8"/>
      <c r="Q5" s="8"/>
      <c r="R5" s="8"/>
      <c r="S5" s="8"/>
      <c r="T5" s="9"/>
      <c r="U5" s="7">
        <f>U6</f>
        <v>45949</v>
      </c>
      <c r="V5" s="8"/>
      <c r="W5" s="8"/>
      <c r="X5" s="8"/>
      <c r="Y5" s="8"/>
      <c r="Z5" s="8"/>
      <c r="AA5" s="9"/>
      <c r="AB5" s="17">
        <f>AB6</f>
        <v>45956</v>
      </c>
      <c r="AC5" s="8"/>
      <c r="AD5" s="8"/>
      <c r="AE5" s="8"/>
      <c r="AF5" s="8"/>
      <c r="AG5" s="8"/>
      <c r="AH5" s="8"/>
      <c r="AI5" s="7">
        <f>AI6</f>
        <v>45963</v>
      </c>
      <c r="AJ5" s="8"/>
      <c r="AK5" s="8"/>
      <c r="AL5" s="8"/>
      <c r="AM5" s="8"/>
      <c r="AN5" s="8"/>
      <c r="AO5" s="9"/>
      <c r="AP5" s="17">
        <f>AP6</f>
        <v>45970</v>
      </c>
      <c r="AQ5" s="8"/>
      <c r="AR5" s="8"/>
      <c r="AS5" s="8"/>
      <c r="AT5" s="8"/>
      <c r="AU5" s="8"/>
      <c r="AV5" s="8"/>
      <c r="AW5" s="7">
        <f>AW6</f>
        <v>45977</v>
      </c>
      <c r="AX5" s="8"/>
      <c r="AY5" s="8"/>
      <c r="AZ5" s="8"/>
      <c r="BA5" s="8"/>
      <c r="BB5" s="8"/>
      <c r="BC5" s="9"/>
      <c r="BD5" s="17">
        <f>BD6</f>
        <v>45984</v>
      </c>
      <c r="BE5" s="8"/>
      <c r="BF5" s="8"/>
      <c r="BG5" s="8"/>
      <c r="BH5" s="8"/>
      <c r="BI5" s="8"/>
      <c r="BJ5" s="8"/>
      <c r="BK5" s="7">
        <f>BK6</f>
        <v>45991</v>
      </c>
      <c r="BL5" s="8"/>
      <c r="BM5" s="8"/>
      <c r="BN5" s="8"/>
      <c r="BO5" s="8"/>
      <c r="BP5" s="8"/>
      <c r="BQ5" s="9"/>
      <c r="BR5" s="17">
        <f>BR6</f>
        <v>45998</v>
      </c>
      <c r="BS5" s="8"/>
      <c r="BT5" s="8"/>
      <c r="BU5" s="8"/>
      <c r="BV5" s="8"/>
      <c r="BW5" s="8"/>
      <c r="BX5" s="8"/>
      <c r="BY5" s="7">
        <f>BY6</f>
        <v>46005</v>
      </c>
      <c r="BZ5" s="8"/>
      <c r="CA5" s="8"/>
      <c r="CB5" s="8"/>
      <c r="CC5" s="8"/>
      <c r="CD5" s="8"/>
      <c r="CE5" s="9"/>
    </row>
    <row r="6" spans="1:84" x14ac:dyDescent="0.35">
      <c r="A6" s="54" t="s">
        <v>70</v>
      </c>
      <c r="B6" s="53"/>
      <c r="C6" s="53"/>
      <c r="D6" s="32" t="s">
        <v>22</v>
      </c>
      <c r="E6" s="32"/>
      <c r="F6" s="32"/>
      <c r="G6" s="32"/>
      <c r="H6" s="33"/>
      <c r="I6" s="25" t="s">
        <v>23</v>
      </c>
      <c r="J6" s="25"/>
      <c r="K6" s="25"/>
      <c r="L6" s="25"/>
      <c r="M6" s="25"/>
      <c r="N6" s="20">
        <f>$M$1+7*M2-WEEKDAY($M$1,2)</f>
        <v>45942</v>
      </c>
      <c r="O6" s="2">
        <f>N6+1</f>
        <v>45943</v>
      </c>
      <c r="P6" s="2">
        <f t="shared" ref="P6:CA6" si="0">O6+1</f>
        <v>45944</v>
      </c>
      <c r="Q6" s="2">
        <f t="shared" si="0"/>
        <v>45945</v>
      </c>
      <c r="R6" s="2">
        <f t="shared" si="0"/>
        <v>45946</v>
      </c>
      <c r="S6" s="2">
        <f t="shared" si="0"/>
        <v>45947</v>
      </c>
      <c r="T6" s="19">
        <f t="shared" si="0"/>
        <v>45948</v>
      </c>
      <c r="U6" s="18">
        <f t="shared" si="0"/>
        <v>45949</v>
      </c>
      <c r="V6" s="2">
        <f t="shared" si="0"/>
        <v>45950</v>
      </c>
      <c r="W6" s="2">
        <f t="shared" si="0"/>
        <v>45951</v>
      </c>
      <c r="X6" s="2">
        <f t="shared" si="0"/>
        <v>45952</v>
      </c>
      <c r="Y6" s="2">
        <f t="shared" si="0"/>
        <v>45953</v>
      </c>
      <c r="Z6" s="2">
        <f t="shared" si="0"/>
        <v>45954</v>
      </c>
      <c r="AA6" s="19">
        <f t="shared" si="0"/>
        <v>45955</v>
      </c>
      <c r="AB6" s="2">
        <f t="shared" si="0"/>
        <v>45956</v>
      </c>
      <c r="AC6" s="2">
        <f t="shared" si="0"/>
        <v>45957</v>
      </c>
      <c r="AD6" s="2">
        <f t="shared" si="0"/>
        <v>45958</v>
      </c>
      <c r="AE6" s="2">
        <f t="shared" si="0"/>
        <v>45959</v>
      </c>
      <c r="AF6" s="2">
        <f t="shared" si="0"/>
        <v>45960</v>
      </c>
      <c r="AG6" s="2">
        <f t="shared" si="0"/>
        <v>45961</v>
      </c>
      <c r="AH6" s="2">
        <f t="shared" si="0"/>
        <v>45962</v>
      </c>
      <c r="AI6" s="18">
        <f t="shared" si="0"/>
        <v>45963</v>
      </c>
      <c r="AJ6" s="2">
        <f t="shared" si="0"/>
        <v>45964</v>
      </c>
      <c r="AK6" s="2">
        <f t="shared" si="0"/>
        <v>45965</v>
      </c>
      <c r="AL6" s="2">
        <f t="shared" si="0"/>
        <v>45966</v>
      </c>
      <c r="AM6" s="2">
        <f t="shared" si="0"/>
        <v>45967</v>
      </c>
      <c r="AN6" s="2">
        <f t="shared" si="0"/>
        <v>45968</v>
      </c>
      <c r="AO6" s="19">
        <f t="shared" si="0"/>
        <v>45969</v>
      </c>
      <c r="AP6" s="2">
        <f t="shared" si="0"/>
        <v>45970</v>
      </c>
      <c r="AQ6" s="2">
        <f t="shared" si="0"/>
        <v>45971</v>
      </c>
      <c r="AR6" s="2">
        <f t="shared" si="0"/>
        <v>45972</v>
      </c>
      <c r="AS6" s="2">
        <f t="shared" si="0"/>
        <v>45973</v>
      </c>
      <c r="AT6" s="2">
        <f t="shared" si="0"/>
        <v>45974</v>
      </c>
      <c r="AU6" s="2">
        <f t="shared" si="0"/>
        <v>45975</v>
      </c>
      <c r="AV6" s="2">
        <f t="shared" si="0"/>
        <v>45976</v>
      </c>
      <c r="AW6" s="18">
        <f t="shared" si="0"/>
        <v>45977</v>
      </c>
      <c r="AX6" s="2">
        <f t="shared" si="0"/>
        <v>45978</v>
      </c>
      <c r="AY6" s="2">
        <f t="shared" si="0"/>
        <v>45979</v>
      </c>
      <c r="AZ6" s="2">
        <f t="shared" si="0"/>
        <v>45980</v>
      </c>
      <c r="BA6" s="2">
        <f t="shared" si="0"/>
        <v>45981</v>
      </c>
      <c r="BB6" s="2">
        <f t="shared" si="0"/>
        <v>45982</v>
      </c>
      <c r="BC6" s="19">
        <f t="shared" si="0"/>
        <v>45983</v>
      </c>
      <c r="BD6" s="2">
        <f t="shared" si="0"/>
        <v>45984</v>
      </c>
      <c r="BE6" s="2">
        <f t="shared" si="0"/>
        <v>45985</v>
      </c>
      <c r="BF6" s="2">
        <f t="shared" si="0"/>
        <v>45986</v>
      </c>
      <c r="BG6" s="2">
        <f t="shared" si="0"/>
        <v>45987</v>
      </c>
      <c r="BH6" s="2">
        <f t="shared" si="0"/>
        <v>45988</v>
      </c>
      <c r="BI6" s="2">
        <f t="shared" si="0"/>
        <v>45989</v>
      </c>
      <c r="BJ6" s="2">
        <f t="shared" si="0"/>
        <v>45990</v>
      </c>
      <c r="BK6" s="18">
        <f t="shared" si="0"/>
        <v>45991</v>
      </c>
      <c r="BL6" s="2">
        <f t="shared" si="0"/>
        <v>45992</v>
      </c>
      <c r="BM6" s="2">
        <f t="shared" si="0"/>
        <v>45993</v>
      </c>
      <c r="BN6" s="2">
        <f t="shared" si="0"/>
        <v>45994</v>
      </c>
      <c r="BO6" s="2">
        <f t="shared" si="0"/>
        <v>45995</v>
      </c>
      <c r="BP6" s="2">
        <f t="shared" si="0"/>
        <v>45996</v>
      </c>
      <c r="BQ6" s="19">
        <f t="shared" si="0"/>
        <v>45997</v>
      </c>
      <c r="BR6" s="2">
        <f t="shared" si="0"/>
        <v>45998</v>
      </c>
      <c r="BS6" s="2">
        <f t="shared" si="0"/>
        <v>45999</v>
      </c>
      <c r="BT6" s="2">
        <f t="shared" si="0"/>
        <v>46000</v>
      </c>
      <c r="BU6" s="2">
        <f t="shared" si="0"/>
        <v>46001</v>
      </c>
      <c r="BV6" s="2">
        <f t="shared" si="0"/>
        <v>46002</v>
      </c>
      <c r="BW6" s="2">
        <f t="shared" si="0"/>
        <v>46003</v>
      </c>
      <c r="BX6" s="2">
        <f t="shared" si="0"/>
        <v>46004</v>
      </c>
      <c r="BY6" s="18">
        <f t="shared" si="0"/>
        <v>46005</v>
      </c>
      <c r="BZ6" s="2">
        <f t="shared" si="0"/>
        <v>46006</v>
      </c>
      <c r="CA6" s="2">
        <f t="shared" si="0"/>
        <v>46007</v>
      </c>
      <c r="CB6" s="2">
        <f t="shared" ref="CB6:CE6" si="1">CA6+1</f>
        <v>46008</v>
      </c>
      <c r="CC6" s="2">
        <f t="shared" si="1"/>
        <v>46009</v>
      </c>
      <c r="CD6" s="2">
        <f t="shared" si="1"/>
        <v>46010</v>
      </c>
      <c r="CE6" s="19">
        <f t="shared" si="1"/>
        <v>46011</v>
      </c>
    </row>
    <row r="7" spans="1:84" s="6" customFormat="1" ht="28" customHeight="1" x14ac:dyDescent="0.35">
      <c r="A7" s="42"/>
      <c r="B7" s="34" t="s">
        <v>26</v>
      </c>
      <c r="C7" s="34" t="s">
        <v>25</v>
      </c>
      <c r="D7" s="34" t="s">
        <v>4</v>
      </c>
      <c r="E7" s="34" t="s">
        <v>5</v>
      </c>
      <c r="F7" s="34" t="s">
        <v>21</v>
      </c>
      <c r="G7" s="34" t="s">
        <v>24</v>
      </c>
      <c r="H7" s="34" t="s">
        <v>6</v>
      </c>
      <c r="I7" s="23" t="s">
        <v>4</v>
      </c>
      <c r="J7" s="23" t="s">
        <v>5</v>
      </c>
      <c r="K7" s="23" t="s">
        <v>7</v>
      </c>
      <c r="L7" s="23" t="s">
        <v>24</v>
      </c>
      <c r="M7" s="23" t="s">
        <v>6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3"/>
      <c r="B8" s="26"/>
      <c r="C8" s="27"/>
      <c r="D8" s="13"/>
      <c r="E8" s="13"/>
      <c r="F8" s="12"/>
      <c r="G8" s="12"/>
      <c r="H8" s="21"/>
      <c r="I8" s="13"/>
      <c r="J8" s="22"/>
      <c r="K8" s="12"/>
      <c r="L8" s="29"/>
      <c r="M8" s="24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4" x14ac:dyDescent="0.35">
      <c r="B9" s="16" t="s">
        <v>73</v>
      </c>
      <c r="C9" s="30" t="s">
        <v>27</v>
      </c>
      <c r="D9" s="31">
        <f>M1</f>
        <v>45942</v>
      </c>
      <c r="E9" s="13">
        <f>D9+F9</f>
        <v>45943</v>
      </c>
      <c r="F9" s="28">
        <v>1</v>
      </c>
      <c r="G9" s="35"/>
      <c r="H9" s="21">
        <f ca="1">IF(D9="",0,IF(D9&gt;TODAY(),0,IF(E9&lt;TODAY(),1,(TODAY()-D9)/(E9-D9))))</f>
        <v>1</v>
      </c>
      <c r="I9" s="1">
        <v>45942</v>
      </c>
      <c r="J9" s="13">
        <v>45943</v>
      </c>
      <c r="K9" s="12"/>
      <c r="L9" s="35"/>
      <c r="M9" s="24">
        <v>1</v>
      </c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</row>
    <row r="10" spans="1:84" ht="15.5" x14ac:dyDescent="0.35">
      <c r="B10" s="16" t="s">
        <v>75</v>
      </c>
      <c r="C10" s="16" t="s">
        <v>74</v>
      </c>
      <c r="D10" s="31">
        <f>E9</f>
        <v>45943</v>
      </c>
      <c r="E10" s="13">
        <f>D10+F10</f>
        <v>45945</v>
      </c>
      <c r="F10" s="28">
        <v>2</v>
      </c>
      <c r="G10" s="37" t="s">
        <v>51</v>
      </c>
      <c r="H10" s="21">
        <v>1</v>
      </c>
      <c r="I10" s="1">
        <v>45943</v>
      </c>
      <c r="J10" s="13">
        <v>45945</v>
      </c>
      <c r="K10" s="28">
        <v>1</v>
      </c>
      <c r="L10" s="37" t="s">
        <v>51</v>
      </c>
      <c r="M10" s="24">
        <v>1</v>
      </c>
      <c r="N10" s="1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</row>
    <row r="11" spans="1:84" ht="15.5" x14ac:dyDescent="0.35">
      <c r="A11" s="43"/>
      <c r="B11" s="16"/>
      <c r="C11" s="16" t="s">
        <v>28</v>
      </c>
      <c r="D11" s="31">
        <f t="shared" ref="D11:D18" si="4">E10</f>
        <v>45945</v>
      </c>
      <c r="E11" s="13">
        <f t="shared" ref="E11:E20" si="5">D11+F11</f>
        <v>45946</v>
      </c>
      <c r="F11" s="28">
        <v>1</v>
      </c>
      <c r="G11" s="37" t="s">
        <v>51</v>
      </c>
      <c r="H11" s="21">
        <v>1</v>
      </c>
      <c r="I11" s="31">
        <v>45945</v>
      </c>
      <c r="J11" s="13">
        <v>45946</v>
      </c>
      <c r="K11" s="28">
        <v>2</v>
      </c>
      <c r="L11" s="38" t="s">
        <v>52</v>
      </c>
      <c r="M11" s="24">
        <v>1</v>
      </c>
      <c r="N11" s="1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</row>
    <row r="12" spans="1:84" x14ac:dyDescent="0.35">
      <c r="A12" s="43"/>
      <c r="B12" s="16"/>
      <c r="C12" s="16" t="s">
        <v>30</v>
      </c>
      <c r="D12" s="31">
        <f t="shared" si="4"/>
        <v>45946</v>
      </c>
      <c r="E12" s="13">
        <f t="shared" si="5"/>
        <v>45948</v>
      </c>
      <c r="F12" s="28">
        <v>2</v>
      </c>
      <c r="G12" s="36"/>
      <c r="H12" s="21"/>
      <c r="I12" s="13">
        <v>45946</v>
      </c>
      <c r="J12" s="13">
        <v>45948</v>
      </c>
      <c r="K12" s="28"/>
      <c r="L12" s="36"/>
      <c r="M12" s="24"/>
      <c r="N12" s="1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</row>
    <row r="13" spans="1:84" x14ac:dyDescent="0.35">
      <c r="A13" s="43"/>
      <c r="B13" s="16" t="s">
        <v>75</v>
      </c>
      <c r="C13" s="16" t="s">
        <v>76</v>
      </c>
      <c r="D13" s="31">
        <f t="shared" si="4"/>
        <v>45948</v>
      </c>
      <c r="E13" s="13">
        <f t="shared" si="5"/>
        <v>45950</v>
      </c>
      <c r="F13" s="28">
        <v>2</v>
      </c>
      <c r="G13" s="39" t="s">
        <v>53</v>
      </c>
      <c r="H13" s="21">
        <f t="shared" ref="H13" ca="1" si="6">IF(D13="",0,IF(D13&gt;TODAY(),0,IF(E13&lt;TODAY(),1,(TODAY()-D13)/(E13-D13))))</f>
        <v>1</v>
      </c>
      <c r="I13" s="31">
        <v>45948</v>
      </c>
      <c r="J13" s="13">
        <v>45950</v>
      </c>
      <c r="K13" s="28"/>
      <c r="L13" s="35"/>
      <c r="M13" s="24">
        <v>1</v>
      </c>
      <c r="N13" s="1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</row>
    <row r="14" spans="1:84" x14ac:dyDescent="0.35">
      <c r="A14" s="43"/>
      <c r="B14" s="16"/>
      <c r="C14" s="16" t="s">
        <v>31</v>
      </c>
      <c r="D14" s="31">
        <f t="shared" si="4"/>
        <v>45950</v>
      </c>
      <c r="E14" s="13">
        <f t="shared" si="5"/>
        <v>45952.2</v>
      </c>
      <c r="F14" s="28">
        <v>2.2000000000000002</v>
      </c>
      <c r="G14" s="35"/>
      <c r="H14" s="21">
        <f ca="1">IF(D14="",0,IF(D14&gt;TODAY(),0,IF(E14&lt;TODAY(),1,(TODAY()-D14)/(E14-D14))))</f>
        <v>1</v>
      </c>
      <c r="I14" s="13">
        <v>45950</v>
      </c>
      <c r="J14" s="13">
        <v>45952</v>
      </c>
      <c r="K14" s="28"/>
      <c r="L14" s="35"/>
      <c r="M14" s="24">
        <v>1</v>
      </c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</row>
    <row r="15" spans="1:84" x14ac:dyDescent="0.35">
      <c r="A15" s="43"/>
      <c r="B15" s="16"/>
      <c r="C15" s="16" t="s">
        <v>32</v>
      </c>
      <c r="D15" s="31">
        <f t="shared" si="4"/>
        <v>45952.2</v>
      </c>
      <c r="E15" s="13">
        <f t="shared" si="5"/>
        <v>45954.6</v>
      </c>
      <c r="F15" s="28">
        <v>2.4</v>
      </c>
      <c r="G15" s="36"/>
      <c r="H15" s="21"/>
      <c r="I15" s="13">
        <v>45952</v>
      </c>
      <c r="J15" s="13">
        <v>45954</v>
      </c>
      <c r="K15" s="28"/>
      <c r="L15" s="36"/>
      <c r="M15" s="24">
        <v>1</v>
      </c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</row>
    <row r="16" spans="1:84" x14ac:dyDescent="0.35">
      <c r="A16" s="43"/>
      <c r="B16" s="16"/>
      <c r="C16" s="16" t="s">
        <v>33</v>
      </c>
      <c r="D16" s="31">
        <f t="shared" si="4"/>
        <v>45954.6</v>
      </c>
      <c r="E16" s="13">
        <f t="shared" si="5"/>
        <v>45957.2</v>
      </c>
      <c r="F16" s="28">
        <v>2.6</v>
      </c>
      <c r="G16" s="35"/>
      <c r="H16" s="21">
        <f t="shared" ref="H16:H39" ca="1" si="7">IF(D16="",0,IF(D16&gt;TODAY(),0,IF(E16&lt;TODAY(),1,(TODAY()-D16)/(E16-D16))))</f>
        <v>1</v>
      </c>
      <c r="I16" s="13">
        <v>45954</v>
      </c>
      <c r="J16" s="13">
        <v>45957</v>
      </c>
      <c r="K16" s="28"/>
      <c r="L16" s="35"/>
      <c r="M16" s="24">
        <v>1</v>
      </c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</row>
    <row r="17" spans="1:83" x14ac:dyDescent="0.35">
      <c r="A17" s="43"/>
      <c r="B17" s="16"/>
      <c r="C17" s="16" t="s">
        <v>34</v>
      </c>
      <c r="D17" s="31">
        <f t="shared" si="4"/>
        <v>45957.2</v>
      </c>
      <c r="E17" s="13">
        <f t="shared" si="5"/>
        <v>45960</v>
      </c>
      <c r="F17" s="28">
        <v>2.8</v>
      </c>
      <c r="G17" s="35"/>
      <c r="H17" s="21">
        <f t="shared" ca="1" si="7"/>
        <v>1</v>
      </c>
      <c r="I17" s="13">
        <v>45957</v>
      </c>
      <c r="J17" s="13">
        <v>45960</v>
      </c>
      <c r="K17" s="28"/>
      <c r="L17" s="35"/>
      <c r="M17" s="24">
        <v>1</v>
      </c>
      <c r="N17" s="1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</row>
    <row r="18" spans="1:83" x14ac:dyDescent="0.35">
      <c r="A18" s="43"/>
      <c r="B18" s="16"/>
      <c r="C18" s="16" t="s">
        <v>35</v>
      </c>
      <c r="D18" s="31">
        <f t="shared" si="4"/>
        <v>45960</v>
      </c>
      <c r="E18" s="13">
        <f t="shared" si="5"/>
        <v>45963</v>
      </c>
      <c r="F18" s="28">
        <v>3</v>
      </c>
      <c r="G18" s="36"/>
      <c r="H18" s="21"/>
      <c r="I18" s="13">
        <v>45960</v>
      </c>
      <c r="J18" s="13">
        <v>45963</v>
      </c>
      <c r="K18" s="28"/>
      <c r="L18" s="36"/>
      <c r="M18" s="24">
        <v>1</v>
      </c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</row>
    <row r="19" spans="1:83" x14ac:dyDescent="0.35">
      <c r="A19" s="43"/>
      <c r="B19" s="16"/>
      <c r="C19" s="16" t="s">
        <v>36</v>
      </c>
      <c r="D19" s="31"/>
      <c r="E19" s="13"/>
      <c r="F19" s="28"/>
      <c r="G19" s="36"/>
      <c r="H19" s="21"/>
      <c r="I19" s="13"/>
      <c r="J19" s="13"/>
      <c r="K19" s="28"/>
      <c r="L19" s="36"/>
      <c r="M19" s="24"/>
      <c r="N19" s="1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</row>
    <row r="20" spans="1:83" x14ac:dyDescent="0.35">
      <c r="A20" s="43"/>
      <c r="B20" s="16" t="s">
        <v>73</v>
      </c>
      <c r="C20" s="30" t="s">
        <v>37</v>
      </c>
      <c r="D20" s="1">
        <f>E18</f>
        <v>45963</v>
      </c>
      <c r="E20" s="13">
        <f t="shared" si="5"/>
        <v>45964</v>
      </c>
      <c r="F20" s="28">
        <v>1</v>
      </c>
      <c r="G20" s="35"/>
      <c r="H20" s="21">
        <f t="shared" ca="1" si="7"/>
        <v>1</v>
      </c>
      <c r="I20" s="13">
        <v>45963</v>
      </c>
      <c r="J20" s="13">
        <v>45964</v>
      </c>
      <c r="K20" s="28"/>
      <c r="L20" s="35"/>
      <c r="M20" s="24">
        <v>1</v>
      </c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</row>
    <row r="21" spans="1:83" x14ac:dyDescent="0.35">
      <c r="A21" s="43"/>
      <c r="B21" s="16" t="s">
        <v>75</v>
      </c>
      <c r="C21" s="16" t="s">
        <v>77</v>
      </c>
      <c r="D21" s="31">
        <f>E20</f>
        <v>45964</v>
      </c>
      <c r="E21" s="13">
        <f>D21+F21</f>
        <v>45966</v>
      </c>
      <c r="F21" s="28">
        <v>2</v>
      </c>
      <c r="G21" s="35"/>
      <c r="H21" s="21">
        <f t="shared" ca="1" si="7"/>
        <v>1</v>
      </c>
      <c r="I21" s="13">
        <v>45964</v>
      </c>
      <c r="J21" s="13">
        <v>45966</v>
      </c>
      <c r="K21" s="28"/>
      <c r="L21" s="35"/>
      <c r="M21" s="24">
        <v>1</v>
      </c>
      <c r="N21" s="1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</row>
    <row r="22" spans="1:83" x14ac:dyDescent="0.35">
      <c r="A22" s="43"/>
      <c r="B22" s="16"/>
      <c r="C22" s="16" t="s">
        <v>38</v>
      </c>
      <c r="D22" s="31">
        <f t="shared" ref="D22:D33" si="8">E21</f>
        <v>45966</v>
      </c>
      <c r="E22" s="13">
        <f t="shared" ref="E22:E39" si="9">D22+F22</f>
        <v>45967</v>
      </c>
      <c r="F22" s="28">
        <v>1</v>
      </c>
      <c r="G22" s="36"/>
      <c r="H22" s="21">
        <f t="shared" ca="1" si="7"/>
        <v>1</v>
      </c>
      <c r="I22" s="13">
        <v>45966</v>
      </c>
      <c r="J22" s="13">
        <v>45967</v>
      </c>
      <c r="K22" s="28"/>
      <c r="L22" s="36"/>
      <c r="M22" s="24">
        <v>1</v>
      </c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</row>
    <row r="23" spans="1:83" x14ac:dyDescent="0.35">
      <c r="A23" s="43"/>
      <c r="B23" s="16"/>
      <c r="C23" s="16" t="s">
        <v>39</v>
      </c>
      <c r="D23" s="31">
        <f t="shared" si="8"/>
        <v>45967</v>
      </c>
      <c r="E23" s="13">
        <f t="shared" si="9"/>
        <v>45969</v>
      </c>
      <c r="F23" s="28">
        <v>2</v>
      </c>
      <c r="G23" s="35"/>
      <c r="H23" s="21">
        <f t="shared" ca="1" si="7"/>
        <v>1</v>
      </c>
      <c r="I23" s="13">
        <v>45967</v>
      </c>
      <c r="J23" s="13">
        <v>45969</v>
      </c>
      <c r="K23" s="28"/>
      <c r="L23" s="35"/>
      <c r="M23" s="24">
        <v>1</v>
      </c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</row>
    <row r="24" spans="1:83" x14ac:dyDescent="0.35">
      <c r="A24" s="43"/>
      <c r="B24" s="16" t="s">
        <v>75</v>
      </c>
      <c r="C24" s="16" t="s">
        <v>40</v>
      </c>
      <c r="D24" s="31">
        <f t="shared" si="8"/>
        <v>45969</v>
      </c>
      <c r="E24" s="13">
        <f t="shared" si="9"/>
        <v>45970</v>
      </c>
      <c r="F24" s="28">
        <v>1</v>
      </c>
      <c r="G24" s="35"/>
      <c r="H24" s="21">
        <f t="shared" ca="1" si="7"/>
        <v>1</v>
      </c>
      <c r="I24" s="13">
        <v>45969</v>
      </c>
      <c r="J24" s="13">
        <v>45970</v>
      </c>
      <c r="K24" s="28"/>
      <c r="L24" s="35"/>
      <c r="M24" s="24">
        <v>1</v>
      </c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</row>
    <row r="25" spans="1:83" x14ac:dyDescent="0.35">
      <c r="A25" s="43"/>
      <c r="B25" s="16"/>
      <c r="C25" s="16" t="s">
        <v>42</v>
      </c>
      <c r="D25" s="31">
        <f t="shared" si="8"/>
        <v>45970</v>
      </c>
      <c r="E25" s="13">
        <f t="shared" si="9"/>
        <v>45972</v>
      </c>
      <c r="F25" s="28">
        <v>2</v>
      </c>
      <c r="G25" s="35"/>
      <c r="H25" s="21">
        <f t="shared" ca="1" si="7"/>
        <v>1</v>
      </c>
      <c r="I25" s="13">
        <v>45970</v>
      </c>
      <c r="J25" s="13">
        <v>45972</v>
      </c>
      <c r="K25" s="28"/>
      <c r="L25" s="35"/>
      <c r="M25" s="24">
        <v>1</v>
      </c>
      <c r="N25" s="1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</row>
    <row r="26" spans="1:83" x14ac:dyDescent="0.35">
      <c r="A26" s="43"/>
      <c r="B26" s="16"/>
      <c r="C26" s="16" t="s">
        <v>43</v>
      </c>
      <c r="D26" s="31">
        <f t="shared" si="8"/>
        <v>45972</v>
      </c>
      <c r="E26" s="13">
        <f t="shared" si="9"/>
        <v>45973</v>
      </c>
      <c r="F26" s="28">
        <v>1</v>
      </c>
      <c r="G26" s="35"/>
      <c r="H26" s="21">
        <f t="shared" ca="1" si="7"/>
        <v>1</v>
      </c>
      <c r="I26" s="13">
        <v>45972</v>
      </c>
      <c r="J26" s="13">
        <v>45973</v>
      </c>
      <c r="K26" s="28"/>
      <c r="L26" s="35"/>
      <c r="M26" s="24">
        <v>1</v>
      </c>
      <c r="N26" s="1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</row>
    <row r="27" spans="1:83" x14ac:dyDescent="0.35">
      <c r="A27" s="43"/>
      <c r="B27" s="16"/>
      <c r="C27" s="16" t="s">
        <v>44</v>
      </c>
      <c r="D27" s="31">
        <f t="shared" si="8"/>
        <v>45973</v>
      </c>
      <c r="E27" s="13">
        <f t="shared" si="9"/>
        <v>45975</v>
      </c>
      <c r="F27" s="28">
        <v>2</v>
      </c>
      <c r="G27" s="35"/>
      <c r="H27" s="21">
        <f t="shared" ca="1" si="7"/>
        <v>1</v>
      </c>
      <c r="I27" s="13">
        <v>45973</v>
      </c>
      <c r="J27" s="13">
        <v>45975</v>
      </c>
      <c r="K27" s="28"/>
      <c r="L27" s="35"/>
      <c r="M27" s="24">
        <v>1</v>
      </c>
      <c r="N27" s="1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</row>
    <row r="28" spans="1:83" x14ac:dyDescent="0.35">
      <c r="A28" s="43"/>
      <c r="B28" s="16"/>
      <c r="C28" s="16" t="s">
        <v>43</v>
      </c>
      <c r="D28" s="31">
        <f t="shared" si="8"/>
        <v>45975</v>
      </c>
      <c r="E28" s="13">
        <f t="shared" si="9"/>
        <v>45976</v>
      </c>
      <c r="F28" s="28">
        <v>1</v>
      </c>
      <c r="G28" s="35"/>
      <c r="H28" s="21">
        <f t="shared" ca="1" si="7"/>
        <v>1</v>
      </c>
      <c r="I28" s="13">
        <v>45975</v>
      </c>
      <c r="J28" s="13">
        <v>45976</v>
      </c>
      <c r="K28" s="28"/>
      <c r="L28" s="35"/>
      <c r="M28" s="24">
        <v>1</v>
      </c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</row>
    <row r="29" spans="1:83" x14ac:dyDescent="0.35">
      <c r="A29" s="43"/>
      <c r="B29" s="16"/>
      <c r="C29" s="16" t="s">
        <v>41</v>
      </c>
      <c r="D29" s="31">
        <f>E28</f>
        <v>45976</v>
      </c>
      <c r="E29" s="13">
        <f>D29+F29</f>
        <v>45978</v>
      </c>
      <c r="F29" s="28">
        <v>2</v>
      </c>
      <c r="G29" s="35"/>
      <c r="H29" s="21">
        <f t="shared" ca="1" si="7"/>
        <v>1</v>
      </c>
      <c r="I29" s="13">
        <v>45976</v>
      </c>
      <c r="J29" s="13">
        <v>45978</v>
      </c>
      <c r="K29" s="28"/>
      <c r="L29" s="35"/>
      <c r="M29" s="24">
        <v>1</v>
      </c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</row>
    <row r="30" spans="1:83" x14ac:dyDescent="0.35">
      <c r="A30" s="43"/>
      <c r="B30" s="16"/>
      <c r="C30" s="16" t="s">
        <v>45</v>
      </c>
      <c r="D30" s="31">
        <f t="shared" si="8"/>
        <v>45978</v>
      </c>
      <c r="E30" s="13">
        <f t="shared" si="9"/>
        <v>45979</v>
      </c>
      <c r="F30" s="28">
        <v>1</v>
      </c>
      <c r="G30" s="35"/>
      <c r="H30" s="21">
        <f t="shared" ca="1" si="7"/>
        <v>1</v>
      </c>
      <c r="I30" s="13">
        <v>45978</v>
      </c>
      <c r="J30" s="13">
        <v>45979</v>
      </c>
      <c r="K30" s="28"/>
      <c r="L30" s="35"/>
      <c r="M30" s="24">
        <v>1</v>
      </c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x14ac:dyDescent="0.35">
      <c r="A31" s="43"/>
      <c r="B31" s="16"/>
      <c r="C31" s="16" t="s">
        <v>42</v>
      </c>
      <c r="D31" s="31">
        <f t="shared" si="8"/>
        <v>45979</v>
      </c>
      <c r="E31" s="13">
        <f t="shared" si="9"/>
        <v>45981</v>
      </c>
      <c r="F31" s="28">
        <v>2</v>
      </c>
      <c r="G31" s="35"/>
      <c r="H31" s="21">
        <f t="shared" ca="1" si="7"/>
        <v>1</v>
      </c>
      <c r="I31" s="13"/>
      <c r="J31" s="13"/>
      <c r="K31" s="28"/>
      <c r="L31" s="35"/>
      <c r="M31" s="24">
        <v>0</v>
      </c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x14ac:dyDescent="0.35">
      <c r="A32" s="43"/>
      <c r="B32" s="16"/>
      <c r="C32" s="16" t="s">
        <v>43</v>
      </c>
      <c r="D32" s="31">
        <f t="shared" si="8"/>
        <v>45981</v>
      </c>
      <c r="E32" s="13">
        <f t="shared" si="9"/>
        <v>45994</v>
      </c>
      <c r="F32" s="28">
        <v>13</v>
      </c>
      <c r="G32" s="35"/>
      <c r="H32" s="21">
        <f t="shared" ca="1" si="7"/>
        <v>0.92307692307692313</v>
      </c>
      <c r="I32" s="13"/>
      <c r="J32" s="13"/>
      <c r="K32" s="28"/>
      <c r="L32" s="35"/>
      <c r="M32" s="24">
        <v>0</v>
      </c>
      <c r="N32" s="1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1:83" x14ac:dyDescent="0.35">
      <c r="A33" s="43"/>
      <c r="B33" s="16"/>
      <c r="C33" s="16" t="s">
        <v>44</v>
      </c>
      <c r="D33" s="31">
        <f t="shared" si="8"/>
        <v>45994</v>
      </c>
      <c r="E33" s="13">
        <f t="shared" si="9"/>
        <v>45996</v>
      </c>
      <c r="F33" s="28">
        <v>2</v>
      </c>
      <c r="G33" s="35"/>
      <c r="H33" s="21">
        <f t="shared" ca="1" si="7"/>
        <v>0</v>
      </c>
      <c r="I33" s="13"/>
      <c r="J33" s="13"/>
      <c r="K33" s="28"/>
      <c r="L33" s="35"/>
      <c r="M33" s="24">
        <v>0</v>
      </c>
      <c r="N33" s="1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1:83" x14ac:dyDescent="0.35">
      <c r="A34" s="43"/>
      <c r="B34" s="16"/>
      <c r="C34" s="16" t="s">
        <v>46</v>
      </c>
      <c r="D34" s="1">
        <v>45981</v>
      </c>
      <c r="E34" s="13">
        <f t="shared" si="9"/>
        <v>45984</v>
      </c>
      <c r="F34" s="28">
        <v>3</v>
      </c>
      <c r="G34" s="35"/>
      <c r="H34" s="21">
        <f t="shared" ca="1" si="7"/>
        <v>1</v>
      </c>
      <c r="I34" s="13"/>
      <c r="J34" s="13"/>
      <c r="K34" s="28"/>
      <c r="L34" s="35"/>
      <c r="M34" s="24">
        <v>0</v>
      </c>
      <c r="N34" s="1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1:83" x14ac:dyDescent="0.35">
      <c r="A35" s="43"/>
      <c r="B35" s="16"/>
      <c r="C35" s="16" t="s">
        <v>42</v>
      </c>
      <c r="D35" s="13"/>
      <c r="E35" s="13"/>
      <c r="F35" s="28"/>
      <c r="G35" s="35"/>
      <c r="H35" s="21">
        <f t="shared" ca="1" si="7"/>
        <v>0</v>
      </c>
      <c r="I35" s="13"/>
      <c r="J35" s="13"/>
      <c r="K35" s="28"/>
      <c r="L35" s="35"/>
      <c r="M35" s="24">
        <v>0</v>
      </c>
      <c r="N35" s="1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1:83" x14ac:dyDescent="0.35">
      <c r="A36" s="43"/>
      <c r="B36" s="16"/>
      <c r="C36" s="16" t="s">
        <v>43</v>
      </c>
      <c r="D36" s="1">
        <v>45980</v>
      </c>
      <c r="E36" s="13">
        <f t="shared" si="9"/>
        <v>45981</v>
      </c>
      <c r="F36" s="28">
        <v>1</v>
      </c>
      <c r="G36" s="35"/>
      <c r="H36" s="21">
        <f t="shared" ca="1" si="7"/>
        <v>1</v>
      </c>
      <c r="I36" s="13"/>
      <c r="J36" s="13"/>
      <c r="K36" s="28"/>
      <c r="L36" s="35"/>
      <c r="M36" s="24">
        <v>0</v>
      </c>
      <c r="N36" s="1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1:83" x14ac:dyDescent="0.35">
      <c r="A37" s="43"/>
      <c r="B37" s="16"/>
      <c r="C37" s="16" t="s">
        <v>44</v>
      </c>
      <c r="D37" s="31">
        <f t="shared" ref="D37" si="10">E36</f>
        <v>45981</v>
      </c>
      <c r="E37" s="13">
        <f t="shared" si="9"/>
        <v>45983</v>
      </c>
      <c r="F37" s="28">
        <v>2</v>
      </c>
      <c r="G37" s="35"/>
      <c r="H37" s="21">
        <f t="shared" ca="1" si="7"/>
        <v>1</v>
      </c>
      <c r="I37" s="13"/>
      <c r="J37" s="13"/>
      <c r="K37" s="28"/>
      <c r="L37" s="35"/>
      <c r="M37" s="24">
        <v>0</v>
      </c>
      <c r="N37" s="1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</row>
    <row r="38" spans="1:83" x14ac:dyDescent="0.35">
      <c r="A38" s="43"/>
      <c r="B38" s="16" t="s">
        <v>75</v>
      </c>
      <c r="C38" s="16" t="s">
        <v>78</v>
      </c>
      <c r="D38" s="1">
        <v>45981</v>
      </c>
      <c r="E38" s="13">
        <f t="shared" si="9"/>
        <v>45984</v>
      </c>
      <c r="F38" s="28">
        <v>3</v>
      </c>
      <c r="G38" s="35"/>
      <c r="H38" s="21">
        <f t="shared" ca="1" si="7"/>
        <v>1</v>
      </c>
      <c r="I38" s="13"/>
      <c r="J38" s="13"/>
      <c r="K38" s="28"/>
      <c r="L38" s="35"/>
      <c r="M38" s="24">
        <v>0</v>
      </c>
      <c r="N38" s="1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</row>
    <row r="39" spans="1:83" x14ac:dyDescent="0.35">
      <c r="A39" s="43"/>
      <c r="B39" s="16"/>
      <c r="C39" s="16" t="s">
        <v>47</v>
      </c>
      <c r="D39" s="1">
        <v>45982</v>
      </c>
      <c r="E39" s="13">
        <f t="shared" si="9"/>
        <v>45986</v>
      </c>
      <c r="F39" s="28">
        <v>4</v>
      </c>
      <c r="G39" s="35"/>
      <c r="H39" s="21">
        <f t="shared" ca="1" si="7"/>
        <v>1</v>
      </c>
      <c r="I39" s="13"/>
      <c r="J39" s="13"/>
      <c r="K39" s="28"/>
      <c r="L39" s="35"/>
      <c r="M39" s="24">
        <v>1</v>
      </c>
      <c r="N39" s="1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</row>
    <row r="40" spans="1:83" x14ac:dyDescent="0.35">
      <c r="A40" s="43"/>
      <c r="B40" s="16"/>
      <c r="C40" s="16" t="s">
        <v>48</v>
      </c>
      <c r="D40" s="13"/>
      <c r="E40" s="13"/>
      <c r="F40" s="28"/>
      <c r="G40" s="28"/>
      <c r="H40" s="21"/>
      <c r="I40" s="13"/>
      <c r="J40" s="13"/>
      <c r="K40" s="28"/>
      <c r="L40" s="29"/>
      <c r="M40" s="24"/>
      <c r="N40" s="1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</row>
    <row r="41" spans="1:83" x14ac:dyDescent="0.35">
      <c r="A41" s="43"/>
      <c r="B41" s="16"/>
      <c r="C41" s="16" t="s">
        <v>49</v>
      </c>
      <c r="D41" s="13"/>
      <c r="E41" s="13"/>
      <c r="F41" s="28"/>
      <c r="G41" s="29"/>
      <c r="H41" s="21"/>
      <c r="I41" s="13"/>
      <c r="J41" s="13"/>
      <c r="K41" s="28"/>
      <c r="L41" s="29"/>
      <c r="M41" s="24"/>
      <c r="N41" s="12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</row>
    <row r="42" spans="1:83" x14ac:dyDescent="0.35">
      <c r="A42" s="43"/>
      <c r="B42" s="16" t="s">
        <v>75</v>
      </c>
      <c r="C42" s="16" t="s">
        <v>50</v>
      </c>
      <c r="D42" s="13"/>
      <c r="E42" s="13"/>
      <c r="F42" s="28"/>
      <c r="G42" s="28"/>
      <c r="H42" s="21"/>
      <c r="I42" s="13"/>
      <c r="J42" s="13"/>
      <c r="K42" s="28"/>
      <c r="L42" s="29"/>
      <c r="M42" s="24"/>
      <c r="N42" s="1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</row>
    <row r="43" spans="1:83" x14ac:dyDescent="0.35">
      <c r="A43" s="43"/>
      <c r="B43" s="16"/>
      <c r="C43" s="16"/>
      <c r="D43" s="13"/>
      <c r="E43" s="13"/>
      <c r="F43" s="28"/>
      <c r="G43" s="28"/>
      <c r="H43" s="21"/>
      <c r="I43" s="13"/>
      <c r="J43" s="13"/>
      <c r="K43" s="28"/>
      <c r="L43" s="29"/>
      <c r="M43" s="24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</row>
    <row r="44" spans="1:83" x14ac:dyDescent="0.35">
      <c r="A44" s="43"/>
      <c r="B44" s="16"/>
      <c r="C44" s="16"/>
      <c r="D44" s="13"/>
      <c r="E44" s="13"/>
      <c r="F44" s="28"/>
      <c r="G44" s="29"/>
      <c r="H44" s="21"/>
      <c r="I44" s="13"/>
      <c r="J44" s="13"/>
      <c r="K44" s="28"/>
      <c r="L44" s="29"/>
      <c r="M44" s="24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</row>
    <row r="45" spans="1:83" x14ac:dyDescent="0.35">
      <c r="A45" s="43"/>
      <c r="B45" s="16" t="str">
        <f t="shared" ref="B45" si="11">IF(C45="","",IF(C45&gt;=$H$6,"Ongoing","Legado"))</f>
        <v/>
      </c>
      <c r="C45" s="27"/>
      <c r="D45" s="13"/>
      <c r="E45" s="13"/>
      <c r="F45" s="12"/>
      <c r="G45" s="12"/>
      <c r="H45" s="21"/>
      <c r="I45" s="12"/>
      <c r="J45" s="12"/>
      <c r="K45" s="12"/>
      <c r="L45" s="29"/>
      <c r="M45" s="24"/>
      <c r="N45" s="1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7" spans="1:83" x14ac:dyDescent="0.35">
      <c r="D47" s="1"/>
    </row>
  </sheetData>
  <mergeCells count="2">
    <mergeCell ref="C2:D2"/>
    <mergeCell ref="C3:D5"/>
  </mergeCells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{62FBA8FE-677B-4627-9ED1-B2CDA48B8764}</x14:id>
        </ext>
      </extLst>
    </cfRule>
  </conditionalFormatting>
  <conditionalFormatting sqref="H40:H45 H8:H3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{FE90ED60-7152-40FD-AB27-21F096C2AD54}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{4BD9C52A-F07A-44B2-BAB6-B0B774DE61A4}</x14:id>
        </ext>
      </extLst>
    </cfRule>
  </conditionalFormatting>
  <conditionalFormatting sqref="M40:M45 M8:M3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{720A0156-5BB3-4681-B824-943B84E3351F}</x14:id>
        </ext>
      </extLst>
    </cfRule>
  </conditionalFormatting>
  <conditionalFormatting sqref="N6:CE45">
    <cfRule type="expression" dxfId="9" priority="4">
      <formula>N$6=TODAY()</formula>
    </cfRule>
  </conditionalFormatting>
  <conditionalFormatting sqref="N7:CE45">
    <cfRule type="expression" dxfId="7" priority="5">
      <formula>OR(WEEKDAY(N$6)=1,WEEKDAY(N$6)=7)</formula>
    </cfRule>
  </conditionalFormatting>
  <conditionalFormatting sqref="N8:CE45">
    <cfRule type="expression" dxfId="6" priority="6">
      <formula>AND($I8&lt;&gt;"",$J8&lt;&gt;"",N$6&lt;=data_progresso,N$6&gt;=$I8,N$6&lt;=$J8)</formula>
    </cfRule>
    <cfRule type="expression" dxfId="5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FBA8FE-677B-4627-9ED1-B2CDA48B876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FE90ED60-7152-40FD-AB27-21F096C2AD5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4BD9C52A-F07A-44B2-BAB6-B0B774DE61A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720A0156-5BB3-4681-B824-943B84E3351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3" id="{2CC74C6C-274E-465D-B349-090F495F0723}">
            <xm:f>MATCH(N$6,Feriados!$B:$B,0)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FF9D-DDDA-446A-B7E8-4FA791427B4B}">
  <dimension ref="A1:CF79"/>
  <sheetViews>
    <sheetView showGridLines="0" tabSelected="1" zoomScale="48" zoomScaleNormal="48" workbookViewId="0">
      <selection activeCell="I2" sqref="I2:I4"/>
    </sheetView>
  </sheetViews>
  <sheetFormatPr defaultRowHeight="14.5" outlineLevelCol="1" x14ac:dyDescent="0.35"/>
  <cols>
    <col min="1" max="1" width="7.7265625" style="41" bestFit="1" customWidth="1"/>
    <col min="2" max="2" width="9.179687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9" width="20.54296875" bestFit="1" customWidth="1"/>
    <col min="10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5" customFormat="1" ht="13.5" customHeight="1" x14ac:dyDescent="0.35">
      <c r="A1" s="40"/>
      <c r="B1" s="44"/>
      <c r="C1" s="53"/>
      <c r="D1" s="44"/>
      <c r="E1" s="47" t="s">
        <v>54</v>
      </c>
      <c r="F1" s="48"/>
      <c r="G1" s="47" t="s">
        <v>57</v>
      </c>
      <c r="I1" s="54" t="s">
        <v>90</v>
      </c>
      <c r="J1" s="54" t="s">
        <v>92</v>
      </c>
      <c r="L1" s="52" t="s">
        <v>8</v>
      </c>
      <c r="M1" s="51">
        <v>45970</v>
      </c>
      <c r="N1" s="46"/>
    </row>
    <row r="2" spans="1:84" s="45" customFormat="1" ht="21" x14ac:dyDescent="0.5">
      <c r="A2" s="40"/>
      <c r="B2" s="44"/>
      <c r="C2" s="57" t="s">
        <v>60</v>
      </c>
      <c r="D2" s="57"/>
      <c r="E2" s="47" t="s">
        <v>55</v>
      </c>
      <c r="F2" s="48"/>
      <c r="G2" s="47" t="s">
        <v>58</v>
      </c>
      <c r="I2" s="45" t="s">
        <v>93</v>
      </c>
      <c r="J2" s="54" t="s">
        <v>84</v>
      </c>
      <c r="L2" s="52" t="s">
        <v>9</v>
      </c>
      <c r="M2" s="52">
        <v>1</v>
      </c>
      <c r="N2" s="46"/>
    </row>
    <row r="3" spans="1:84" s="45" customFormat="1" ht="18" x14ac:dyDescent="0.35">
      <c r="A3" s="54" t="s">
        <v>80</v>
      </c>
      <c r="B3" s="53"/>
      <c r="C3" s="56" t="s">
        <v>65</v>
      </c>
      <c r="D3" s="56"/>
      <c r="E3" s="47" t="s">
        <v>56</v>
      </c>
      <c r="F3" s="48"/>
      <c r="G3" s="47" t="s">
        <v>59</v>
      </c>
      <c r="I3" s="45" t="s">
        <v>94</v>
      </c>
      <c r="J3" s="54" t="s">
        <v>85</v>
      </c>
      <c r="M3" s="52"/>
      <c r="N3" s="46"/>
    </row>
    <row r="4" spans="1:84" s="45" customFormat="1" x14ac:dyDescent="0.35">
      <c r="A4" s="54" t="s">
        <v>89</v>
      </c>
      <c r="B4" s="53"/>
      <c r="C4" s="56"/>
      <c r="D4" s="56"/>
      <c r="E4" s="47"/>
      <c r="F4" s="48"/>
      <c r="G4" s="47"/>
      <c r="I4" s="45" t="s">
        <v>95</v>
      </c>
      <c r="J4" s="54" t="s">
        <v>86</v>
      </c>
      <c r="M4" s="52"/>
      <c r="N4" s="46"/>
    </row>
    <row r="5" spans="1:84" ht="21.5" customHeight="1" x14ac:dyDescent="0.35">
      <c r="A5" s="54" t="s">
        <v>66</v>
      </c>
      <c r="B5" s="53"/>
      <c r="C5" s="56"/>
      <c r="D5" s="56"/>
      <c r="E5" s="49"/>
      <c r="F5" s="45"/>
      <c r="G5" s="50"/>
      <c r="H5" s="45"/>
      <c r="I5" s="45"/>
      <c r="J5" s="45"/>
      <c r="K5" s="45"/>
      <c r="L5" s="45"/>
      <c r="M5" s="45"/>
      <c r="N5" s="7">
        <f>N6</f>
        <v>45970</v>
      </c>
      <c r="O5" s="8"/>
      <c r="P5" s="8"/>
      <c r="Q5" s="8"/>
      <c r="R5" s="8"/>
      <c r="S5" s="8"/>
      <c r="T5" s="9"/>
      <c r="U5" s="7">
        <f>U6</f>
        <v>45977</v>
      </c>
      <c r="V5" s="8"/>
      <c r="W5" s="8"/>
      <c r="X5" s="8"/>
      <c r="Y5" s="8"/>
      <c r="Z5" s="8"/>
      <c r="AA5" s="9"/>
      <c r="AB5" s="17">
        <f>AB6</f>
        <v>45984</v>
      </c>
      <c r="AC5" s="8"/>
      <c r="AD5" s="8"/>
      <c r="AE5" s="8"/>
      <c r="AF5" s="8"/>
      <c r="AG5" s="8"/>
      <c r="AH5" s="8"/>
      <c r="AI5" s="7">
        <f>AI6</f>
        <v>45991</v>
      </c>
      <c r="AJ5" s="8"/>
      <c r="AK5" s="8"/>
      <c r="AL5" s="8"/>
      <c r="AM5" s="8"/>
      <c r="AN5" s="8"/>
      <c r="AO5" s="9"/>
      <c r="AP5" s="17">
        <f>AP6</f>
        <v>45998</v>
      </c>
      <c r="AQ5" s="8"/>
      <c r="AR5" s="8"/>
      <c r="AS5" s="8"/>
      <c r="AT5" s="8"/>
      <c r="AU5" s="8"/>
      <c r="AV5" s="8"/>
      <c r="AW5" s="7">
        <f>AW6</f>
        <v>46005</v>
      </c>
      <c r="AX5" s="8"/>
      <c r="AY5" s="8"/>
      <c r="AZ5" s="8"/>
      <c r="BA5" s="8"/>
      <c r="BB5" s="8"/>
      <c r="BC5" s="9"/>
      <c r="BD5" s="17">
        <f>BD6</f>
        <v>46012</v>
      </c>
      <c r="BE5" s="8"/>
      <c r="BF5" s="8"/>
      <c r="BG5" s="8"/>
      <c r="BH5" s="8"/>
      <c r="BI5" s="8"/>
      <c r="BJ5" s="8"/>
      <c r="BK5" s="7">
        <f>BK6</f>
        <v>46019</v>
      </c>
      <c r="BL5" s="8"/>
      <c r="BM5" s="8"/>
      <c r="BN5" s="8"/>
      <c r="BO5" s="8"/>
      <c r="BP5" s="8"/>
      <c r="BQ5" s="9"/>
      <c r="BR5" s="17">
        <f>BR6</f>
        <v>46026</v>
      </c>
      <c r="BS5" s="8"/>
      <c r="BT5" s="8"/>
      <c r="BU5" s="8"/>
      <c r="BV5" s="8"/>
      <c r="BW5" s="8"/>
      <c r="BX5" s="8"/>
      <c r="BY5" s="7">
        <f>BY6</f>
        <v>46033</v>
      </c>
      <c r="BZ5" s="8"/>
      <c r="CA5" s="8"/>
      <c r="CB5" s="8"/>
      <c r="CC5" s="8"/>
      <c r="CD5" s="8"/>
      <c r="CE5" s="9"/>
    </row>
    <row r="6" spans="1:84" x14ac:dyDescent="0.35">
      <c r="A6" s="54" t="s">
        <v>71</v>
      </c>
      <c r="B6" s="53"/>
      <c r="C6" s="53"/>
      <c r="D6" s="32" t="s">
        <v>22</v>
      </c>
      <c r="E6" s="32"/>
      <c r="F6" s="32"/>
      <c r="G6" s="32"/>
      <c r="H6" s="33"/>
      <c r="I6" s="25" t="s">
        <v>23</v>
      </c>
      <c r="J6" s="25"/>
      <c r="K6" s="25"/>
      <c r="L6" s="25"/>
      <c r="M6" s="25"/>
      <c r="N6" s="20">
        <f>$M$1+7*M2-WEEKDAY($M$1,2)</f>
        <v>45970</v>
      </c>
      <c r="O6" s="2">
        <f>N6+1</f>
        <v>45971</v>
      </c>
      <c r="P6" s="2">
        <f t="shared" ref="P6:CA6" si="0">O6+1</f>
        <v>45972</v>
      </c>
      <c r="Q6" s="2">
        <f t="shared" si="0"/>
        <v>45973</v>
      </c>
      <c r="R6" s="2">
        <f t="shared" si="0"/>
        <v>45974</v>
      </c>
      <c r="S6" s="2">
        <f t="shared" si="0"/>
        <v>45975</v>
      </c>
      <c r="T6" s="19">
        <f t="shared" si="0"/>
        <v>45976</v>
      </c>
      <c r="U6" s="18">
        <f t="shared" si="0"/>
        <v>45977</v>
      </c>
      <c r="V6" s="2">
        <f t="shared" si="0"/>
        <v>45978</v>
      </c>
      <c r="W6" s="2">
        <f t="shared" si="0"/>
        <v>45979</v>
      </c>
      <c r="X6" s="2">
        <f t="shared" si="0"/>
        <v>45980</v>
      </c>
      <c r="Y6" s="2">
        <f t="shared" si="0"/>
        <v>45981</v>
      </c>
      <c r="Z6" s="2">
        <f t="shared" si="0"/>
        <v>45982</v>
      </c>
      <c r="AA6" s="19">
        <f t="shared" si="0"/>
        <v>45983</v>
      </c>
      <c r="AB6" s="2">
        <f t="shared" si="0"/>
        <v>45984</v>
      </c>
      <c r="AC6" s="2">
        <f t="shared" si="0"/>
        <v>45985</v>
      </c>
      <c r="AD6" s="2">
        <f t="shared" si="0"/>
        <v>45986</v>
      </c>
      <c r="AE6" s="2">
        <f t="shared" si="0"/>
        <v>45987</v>
      </c>
      <c r="AF6" s="2">
        <f t="shared" si="0"/>
        <v>45988</v>
      </c>
      <c r="AG6" s="2">
        <f t="shared" si="0"/>
        <v>45989</v>
      </c>
      <c r="AH6" s="2">
        <f t="shared" si="0"/>
        <v>45990</v>
      </c>
      <c r="AI6" s="18">
        <f t="shared" si="0"/>
        <v>45991</v>
      </c>
      <c r="AJ6" s="2">
        <f t="shared" si="0"/>
        <v>45992</v>
      </c>
      <c r="AK6" s="2">
        <f t="shared" si="0"/>
        <v>45993</v>
      </c>
      <c r="AL6" s="2">
        <f t="shared" si="0"/>
        <v>45994</v>
      </c>
      <c r="AM6" s="2">
        <f t="shared" si="0"/>
        <v>45995</v>
      </c>
      <c r="AN6" s="2">
        <f t="shared" si="0"/>
        <v>45996</v>
      </c>
      <c r="AO6" s="19">
        <f t="shared" si="0"/>
        <v>45997</v>
      </c>
      <c r="AP6" s="2">
        <f t="shared" si="0"/>
        <v>45998</v>
      </c>
      <c r="AQ6" s="2">
        <f t="shared" si="0"/>
        <v>45999</v>
      </c>
      <c r="AR6" s="2">
        <f t="shared" si="0"/>
        <v>46000</v>
      </c>
      <c r="AS6" s="2">
        <f t="shared" si="0"/>
        <v>46001</v>
      </c>
      <c r="AT6" s="2">
        <f t="shared" si="0"/>
        <v>46002</v>
      </c>
      <c r="AU6" s="2">
        <f t="shared" si="0"/>
        <v>46003</v>
      </c>
      <c r="AV6" s="2">
        <f t="shared" si="0"/>
        <v>46004</v>
      </c>
      <c r="AW6" s="18">
        <f t="shared" si="0"/>
        <v>46005</v>
      </c>
      <c r="AX6" s="2">
        <f t="shared" si="0"/>
        <v>46006</v>
      </c>
      <c r="AY6" s="2">
        <f t="shared" si="0"/>
        <v>46007</v>
      </c>
      <c r="AZ6" s="2">
        <f t="shared" si="0"/>
        <v>46008</v>
      </c>
      <c r="BA6" s="2">
        <f t="shared" si="0"/>
        <v>46009</v>
      </c>
      <c r="BB6" s="2">
        <f t="shared" si="0"/>
        <v>46010</v>
      </c>
      <c r="BC6" s="19">
        <f t="shared" si="0"/>
        <v>46011</v>
      </c>
      <c r="BD6" s="2">
        <f t="shared" si="0"/>
        <v>46012</v>
      </c>
      <c r="BE6" s="2">
        <f t="shared" si="0"/>
        <v>46013</v>
      </c>
      <c r="BF6" s="2">
        <f t="shared" si="0"/>
        <v>46014</v>
      </c>
      <c r="BG6" s="2">
        <f t="shared" si="0"/>
        <v>46015</v>
      </c>
      <c r="BH6" s="2">
        <f t="shared" si="0"/>
        <v>46016</v>
      </c>
      <c r="BI6" s="2">
        <f t="shared" si="0"/>
        <v>46017</v>
      </c>
      <c r="BJ6" s="2">
        <f t="shared" si="0"/>
        <v>46018</v>
      </c>
      <c r="BK6" s="18">
        <f t="shared" si="0"/>
        <v>46019</v>
      </c>
      <c r="BL6" s="2">
        <f t="shared" si="0"/>
        <v>46020</v>
      </c>
      <c r="BM6" s="2">
        <f t="shared" si="0"/>
        <v>46021</v>
      </c>
      <c r="BN6" s="2">
        <f t="shared" si="0"/>
        <v>46022</v>
      </c>
      <c r="BO6" s="2">
        <f t="shared" si="0"/>
        <v>46023</v>
      </c>
      <c r="BP6" s="2">
        <f t="shared" si="0"/>
        <v>46024</v>
      </c>
      <c r="BQ6" s="19">
        <f t="shared" si="0"/>
        <v>46025</v>
      </c>
      <c r="BR6" s="2">
        <f t="shared" si="0"/>
        <v>46026</v>
      </c>
      <c r="BS6" s="2">
        <f t="shared" si="0"/>
        <v>46027</v>
      </c>
      <c r="BT6" s="2">
        <f t="shared" si="0"/>
        <v>46028</v>
      </c>
      <c r="BU6" s="2">
        <f t="shared" si="0"/>
        <v>46029</v>
      </c>
      <c r="BV6" s="2">
        <f t="shared" si="0"/>
        <v>46030</v>
      </c>
      <c r="BW6" s="2">
        <f t="shared" si="0"/>
        <v>46031</v>
      </c>
      <c r="BX6" s="2">
        <f t="shared" si="0"/>
        <v>46032</v>
      </c>
      <c r="BY6" s="18">
        <f t="shared" si="0"/>
        <v>46033</v>
      </c>
      <c r="BZ6" s="2">
        <f t="shared" si="0"/>
        <v>46034</v>
      </c>
      <c r="CA6" s="2">
        <f t="shared" si="0"/>
        <v>46035</v>
      </c>
      <c r="CB6" s="2">
        <f t="shared" ref="CB6:CE6" si="1">CA6+1</f>
        <v>46036</v>
      </c>
      <c r="CC6" s="2">
        <f t="shared" si="1"/>
        <v>46037</v>
      </c>
      <c r="CD6" s="2">
        <f t="shared" si="1"/>
        <v>46038</v>
      </c>
      <c r="CE6" s="19">
        <f t="shared" si="1"/>
        <v>46039</v>
      </c>
    </row>
    <row r="7" spans="1:84" s="6" customFormat="1" ht="28" customHeight="1" x14ac:dyDescent="0.35">
      <c r="A7" s="42"/>
      <c r="B7" s="34" t="s">
        <v>72</v>
      </c>
      <c r="C7" s="34" t="s">
        <v>25</v>
      </c>
      <c r="D7" s="34" t="s">
        <v>4</v>
      </c>
      <c r="E7" s="34" t="s">
        <v>5</v>
      </c>
      <c r="F7" s="34" t="s">
        <v>21</v>
      </c>
      <c r="G7" s="34" t="s">
        <v>24</v>
      </c>
      <c r="H7" s="34" t="s">
        <v>6</v>
      </c>
      <c r="I7" s="23" t="s">
        <v>4</v>
      </c>
      <c r="J7" s="23" t="s">
        <v>5</v>
      </c>
      <c r="K7" s="23" t="s">
        <v>7</v>
      </c>
      <c r="L7" s="23" t="s">
        <v>24</v>
      </c>
      <c r="M7" s="23" t="s">
        <v>6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3"/>
      <c r="B8" s="26"/>
      <c r="C8" s="27"/>
      <c r="D8" s="13"/>
      <c r="E8" s="13"/>
      <c r="F8" s="12"/>
      <c r="G8" s="12"/>
      <c r="H8" s="21"/>
      <c r="I8" s="13"/>
      <c r="J8" s="22"/>
      <c r="K8" s="12"/>
      <c r="L8" s="29"/>
      <c r="M8" s="24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4" ht="15.5" x14ac:dyDescent="0.35">
      <c r="B9" s="16" t="s">
        <v>73</v>
      </c>
      <c r="C9" s="30" t="s">
        <v>27</v>
      </c>
      <c r="D9" s="31">
        <f>M1</f>
        <v>45970</v>
      </c>
      <c r="E9" s="13">
        <f>D9+F9</f>
        <v>45971</v>
      </c>
      <c r="F9" s="28">
        <v>1</v>
      </c>
      <c r="G9" s="37" t="s">
        <v>51</v>
      </c>
      <c r="H9" s="21">
        <f ca="1">IF(D9="",0,IF(D9&gt;TODAY(),0,IF(E9&lt;TODAY(),1,(TODAY()-D9)/(E9-D9))))</f>
        <v>1</v>
      </c>
      <c r="I9" s="1">
        <v>45970</v>
      </c>
      <c r="J9" s="13">
        <v>45971</v>
      </c>
      <c r="K9" s="12"/>
      <c r="L9" s="37" t="s">
        <v>51</v>
      </c>
      <c r="M9" s="24">
        <v>1</v>
      </c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</row>
    <row r="10" spans="1:84" ht="15.5" x14ac:dyDescent="0.35">
      <c r="B10" s="16" t="s">
        <v>75</v>
      </c>
      <c r="C10" s="16" t="s">
        <v>74</v>
      </c>
      <c r="D10" s="31">
        <f>E9</f>
        <v>45971</v>
      </c>
      <c r="E10" s="13">
        <f>D10+F10</f>
        <v>45973</v>
      </c>
      <c r="F10" s="28">
        <v>2</v>
      </c>
      <c r="G10" s="37" t="s">
        <v>51</v>
      </c>
      <c r="H10" s="21">
        <v>1</v>
      </c>
      <c r="I10" s="1">
        <v>45971</v>
      </c>
      <c r="J10" s="13">
        <v>45973</v>
      </c>
      <c r="K10" s="28">
        <v>1</v>
      </c>
      <c r="L10" s="37" t="s">
        <v>51</v>
      </c>
      <c r="M10" s="24">
        <v>1</v>
      </c>
      <c r="N10" s="1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</row>
    <row r="11" spans="1:84" ht="15.5" x14ac:dyDescent="0.35">
      <c r="A11" s="43"/>
      <c r="B11" s="16"/>
      <c r="C11" s="16" t="s">
        <v>28</v>
      </c>
      <c r="D11" s="31">
        <f t="shared" ref="D11:D16" si="4">E10</f>
        <v>45973</v>
      </c>
      <c r="E11" s="13">
        <f t="shared" ref="E11:E16" si="5">D11+F11</f>
        <v>45974</v>
      </c>
      <c r="F11" s="28">
        <v>1</v>
      </c>
      <c r="G11" s="37" t="s">
        <v>51</v>
      </c>
      <c r="H11" s="21">
        <v>1</v>
      </c>
      <c r="I11" s="31">
        <v>45973</v>
      </c>
      <c r="J11" s="13">
        <v>45974</v>
      </c>
      <c r="K11" s="28">
        <v>2</v>
      </c>
      <c r="L11" s="37" t="s">
        <v>51</v>
      </c>
      <c r="M11" s="24">
        <v>1</v>
      </c>
      <c r="N11" s="1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</row>
    <row r="12" spans="1:84" ht="15.5" x14ac:dyDescent="0.35">
      <c r="A12" s="43"/>
      <c r="B12" s="16"/>
      <c r="C12" s="16" t="s">
        <v>30</v>
      </c>
      <c r="D12" s="31">
        <f t="shared" si="4"/>
        <v>45974</v>
      </c>
      <c r="E12" s="13">
        <f t="shared" si="5"/>
        <v>45976</v>
      </c>
      <c r="F12" s="28">
        <v>2</v>
      </c>
      <c r="G12" s="37" t="s">
        <v>51</v>
      </c>
      <c r="H12" s="21">
        <v>1</v>
      </c>
      <c r="I12" s="13">
        <v>45974</v>
      </c>
      <c r="J12" s="13">
        <v>45976</v>
      </c>
      <c r="K12" s="28"/>
      <c r="L12" s="37" t="s">
        <v>51</v>
      </c>
      <c r="M12" s="24">
        <v>1</v>
      </c>
      <c r="N12" s="1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</row>
    <row r="13" spans="1:84" ht="15.5" x14ac:dyDescent="0.35">
      <c r="A13" s="43"/>
      <c r="B13" s="16" t="s">
        <v>75</v>
      </c>
      <c r="C13" s="16" t="s">
        <v>76</v>
      </c>
      <c r="D13" s="31">
        <f t="shared" si="4"/>
        <v>45976</v>
      </c>
      <c r="E13" s="13">
        <f t="shared" si="5"/>
        <v>45978</v>
      </c>
      <c r="F13" s="28">
        <v>2</v>
      </c>
      <c r="G13" s="37" t="s">
        <v>51</v>
      </c>
      <c r="H13" s="21">
        <v>1</v>
      </c>
      <c r="I13" s="31">
        <v>45976</v>
      </c>
      <c r="J13" s="13">
        <v>45978</v>
      </c>
      <c r="K13" s="28"/>
      <c r="L13" s="37" t="s">
        <v>51</v>
      </c>
      <c r="M13" s="24">
        <v>1</v>
      </c>
      <c r="N13" s="1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</row>
    <row r="14" spans="1:84" ht="15.5" x14ac:dyDescent="0.35">
      <c r="A14" s="43"/>
      <c r="B14" s="16"/>
      <c r="C14" s="16" t="s">
        <v>31</v>
      </c>
      <c r="D14" s="31">
        <f t="shared" si="4"/>
        <v>45978</v>
      </c>
      <c r="E14" s="13">
        <f t="shared" si="5"/>
        <v>45980.2</v>
      </c>
      <c r="F14" s="28">
        <v>2.2000000000000002</v>
      </c>
      <c r="G14" s="37" t="s">
        <v>51</v>
      </c>
      <c r="H14" s="21">
        <v>1</v>
      </c>
      <c r="I14" s="13">
        <v>45978</v>
      </c>
      <c r="J14" s="13">
        <v>45980</v>
      </c>
      <c r="K14" s="28"/>
      <c r="L14" s="37" t="s">
        <v>51</v>
      </c>
      <c r="M14" s="24">
        <v>1</v>
      </c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</row>
    <row r="15" spans="1:84" ht="15.5" x14ac:dyDescent="0.35">
      <c r="A15" s="43"/>
      <c r="B15" s="16"/>
      <c r="C15" s="16" t="s">
        <v>32</v>
      </c>
      <c r="D15" s="31">
        <f t="shared" si="4"/>
        <v>45980.2</v>
      </c>
      <c r="E15" s="13">
        <f t="shared" si="5"/>
        <v>45982.6</v>
      </c>
      <c r="F15" s="28">
        <v>2.4</v>
      </c>
      <c r="G15" s="37" t="s">
        <v>51</v>
      </c>
      <c r="H15" s="21">
        <v>1</v>
      </c>
      <c r="I15" s="13">
        <v>45980</v>
      </c>
      <c r="J15" s="13">
        <v>45982</v>
      </c>
      <c r="K15" s="28"/>
      <c r="L15" s="37" t="s">
        <v>51</v>
      </c>
      <c r="M15" s="24">
        <v>1</v>
      </c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</row>
    <row r="16" spans="1:84" ht="15.5" x14ac:dyDescent="0.35">
      <c r="A16" s="43"/>
      <c r="B16" s="16"/>
      <c r="C16" s="16" t="s">
        <v>33</v>
      </c>
      <c r="D16" s="31">
        <f t="shared" si="4"/>
        <v>45982.6</v>
      </c>
      <c r="E16" s="13">
        <f t="shared" si="5"/>
        <v>45985.2</v>
      </c>
      <c r="F16" s="28">
        <v>2.6</v>
      </c>
      <c r="G16" s="37" t="s">
        <v>51</v>
      </c>
      <c r="H16" s="21">
        <v>1</v>
      </c>
      <c r="I16" s="13">
        <v>45982</v>
      </c>
      <c r="J16" s="13">
        <v>45985</v>
      </c>
      <c r="K16" s="28"/>
      <c r="L16" s="37" t="s">
        <v>51</v>
      </c>
      <c r="M16" s="24">
        <v>1</v>
      </c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</row>
    <row r="17" spans="1:83" ht="15.5" x14ac:dyDescent="0.35">
      <c r="A17" s="43"/>
      <c r="B17" s="16"/>
      <c r="C17" s="16" t="s">
        <v>34</v>
      </c>
      <c r="D17" s="31">
        <f t="shared" ref="D17:D20" si="6">E16</f>
        <v>45985.2</v>
      </c>
      <c r="E17" s="13">
        <f t="shared" ref="E17:E20" si="7">D17+F17</f>
        <v>45988.799999999996</v>
      </c>
      <c r="F17" s="28">
        <v>3.6</v>
      </c>
      <c r="G17" s="37" t="s">
        <v>51</v>
      </c>
      <c r="H17" s="21">
        <v>2</v>
      </c>
      <c r="I17" s="13">
        <v>45982</v>
      </c>
      <c r="J17" s="13">
        <v>45985</v>
      </c>
      <c r="K17" s="28"/>
      <c r="L17" s="37" t="s">
        <v>51</v>
      </c>
      <c r="M17" s="24">
        <v>1</v>
      </c>
      <c r="N17" s="1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</row>
    <row r="18" spans="1:83" ht="15.5" x14ac:dyDescent="0.35">
      <c r="A18" s="43"/>
      <c r="B18" s="16"/>
      <c r="C18" s="16" t="s">
        <v>35</v>
      </c>
      <c r="D18" s="31">
        <f t="shared" si="6"/>
        <v>45988.799999999996</v>
      </c>
      <c r="E18" s="13">
        <f t="shared" si="7"/>
        <v>45993.399999999994</v>
      </c>
      <c r="F18" s="28">
        <v>4.5999999999999996</v>
      </c>
      <c r="G18" s="37" t="s">
        <v>51</v>
      </c>
      <c r="H18" s="21">
        <v>3</v>
      </c>
      <c r="I18" s="13">
        <v>45982</v>
      </c>
      <c r="J18" s="13">
        <v>45985</v>
      </c>
      <c r="K18" s="28"/>
      <c r="L18" s="37" t="s">
        <v>51</v>
      </c>
      <c r="M18" s="24">
        <v>1</v>
      </c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</row>
    <row r="19" spans="1:83" ht="15.5" x14ac:dyDescent="0.35">
      <c r="A19" s="43"/>
      <c r="B19" s="16"/>
      <c r="C19" s="16" t="s">
        <v>36</v>
      </c>
      <c r="D19" s="31">
        <f t="shared" si="6"/>
        <v>45993.399999999994</v>
      </c>
      <c r="E19" s="13">
        <f t="shared" si="7"/>
        <v>45998.999999999993</v>
      </c>
      <c r="F19" s="28">
        <v>5.6</v>
      </c>
      <c r="G19" s="37" t="s">
        <v>51</v>
      </c>
      <c r="H19" s="21">
        <v>4</v>
      </c>
      <c r="I19" s="13">
        <v>45982</v>
      </c>
      <c r="J19" s="13">
        <v>45985</v>
      </c>
      <c r="K19" s="28"/>
      <c r="L19" s="37" t="s">
        <v>51</v>
      </c>
      <c r="M19" s="24">
        <v>1</v>
      </c>
      <c r="N19" s="1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</row>
    <row r="20" spans="1:83" ht="15.5" x14ac:dyDescent="0.35">
      <c r="A20" s="43"/>
      <c r="B20" s="16" t="s">
        <v>73</v>
      </c>
      <c r="C20" s="30" t="s">
        <v>37</v>
      </c>
      <c r="D20" s="31">
        <f t="shared" si="6"/>
        <v>45998.999999999993</v>
      </c>
      <c r="E20" s="13">
        <f t="shared" si="7"/>
        <v>46005.599999999991</v>
      </c>
      <c r="F20" s="28">
        <v>6.6</v>
      </c>
      <c r="G20" s="37" t="s">
        <v>51</v>
      </c>
      <c r="H20" s="21">
        <v>5</v>
      </c>
      <c r="I20" s="13">
        <v>45982</v>
      </c>
      <c r="J20" s="13">
        <v>45985</v>
      </c>
      <c r="K20" s="28"/>
      <c r="L20" s="37" t="s">
        <v>51</v>
      </c>
      <c r="M20" s="24">
        <v>1</v>
      </c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</row>
    <row r="21" spans="1:83" x14ac:dyDescent="0.35">
      <c r="A21" s="43"/>
      <c r="B21" s="16" t="s">
        <v>75</v>
      </c>
      <c r="C21" s="16" t="s">
        <v>77</v>
      </c>
      <c r="D21" s="31">
        <f>E20</f>
        <v>46005.599999999991</v>
      </c>
      <c r="E21" s="13">
        <f>D21+F21</f>
        <v>46007.599999999991</v>
      </c>
      <c r="F21" s="28">
        <v>2</v>
      </c>
      <c r="G21" s="35"/>
      <c r="H21" s="21">
        <f t="shared" ref="H21:H32" ca="1" si="8">IF(D21="",0,IF(D21&gt;TODAY(),0,IF(E21&lt;TODAY(),1,(TODAY()-D21)/(E21-D21))))</f>
        <v>0</v>
      </c>
      <c r="I21" s="13"/>
      <c r="J21" s="13"/>
      <c r="K21" s="28"/>
      <c r="L21" s="35"/>
      <c r="M21" s="24">
        <v>0</v>
      </c>
      <c r="N21" s="1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</row>
    <row r="22" spans="1:83" x14ac:dyDescent="0.35">
      <c r="A22" s="43"/>
      <c r="B22" s="16"/>
      <c r="C22" s="16" t="s">
        <v>38</v>
      </c>
      <c r="D22" s="31">
        <f t="shared" ref="D22:D32" si="9">E21</f>
        <v>46007.599999999991</v>
      </c>
      <c r="E22" s="13">
        <f t="shared" ref="E22:E32" si="10">D22+F22</f>
        <v>46008.599999999991</v>
      </c>
      <c r="F22" s="28">
        <v>1</v>
      </c>
      <c r="G22" s="36"/>
      <c r="H22" s="21">
        <f t="shared" ca="1" si="8"/>
        <v>0</v>
      </c>
      <c r="I22" s="13"/>
      <c r="J22" s="13"/>
      <c r="K22" s="28"/>
      <c r="L22" s="36"/>
      <c r="M22" s="24"/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</row>
    <row r="23" spans="1:83" x14ac:dyDescent="0.35">
      <c r="A23" s="43"/>
      <c r="B23" s="16"/>
      <c r="C23" s="16" t="s">
        <v>39</v>
      </c>
      <c r="D23" s="31">
        <f t="shared" si="9"/>
        <v>46008.599999999991</v>
      </c>
      <c r="E23" s="13">
        <f t="shared" si="10"/>
        <v>46010.599999999991</v>
      </c>
      <c r="F23" s="28">
        <v>2</v>
      </c>
      <c r="G23" s="35"/>
      <c r="H23" s="21">
        <f t="shared" ca="1" si="8"/>
        <v>0</v>
      </c>
      <c r="I23" s="13"/>
      <c r="J23" s="13"/>
      <c r="K23" s="28"/>
      <c r="L23" s="35"/>
      <c r="M23" s="24">
        <v>0</v>
      </c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</row>
    <row r="24" spans="1:83" x14ac:dyDescent="0.35">
      <c r="A24" s="43"/>
      <c r="B24" s="16" t="s">
        <v>75</v>
      </c>
      <c r="C24" s="16" t="s">
        <v>40</v>
      </c>
      <c r="D24" s="31">
        <f t="shared" si="9"/>
        <v>46010.599999999991</v>
      </c>
      <c r="E24" s="13">
        <f t="shared" si="10"/>
        <v>46011.599999999991</v>
      </c>
      <c r="F24" s="28">
        <v>1</v>
      </c>
      <c r="G24" s="35"/>
      <c r="H24" s="21">
        <f t="shared" ca="1" si="8"/>
        <v>0</v>
      </c>
      <c r="I24" s="13"/>
      <c r="J24" s="13"/>
      <c r="K24" s="28"/>
      <c r="L24" s="35"/>
      <c r="M24" s="24">
        <v>0</v>
      </c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</row>
    <row r="25" spans="1:83" x14ac:dyDescent="0.35">
      <c r="A25" s="43"/>
      <c r="B25" s="16"/>
      <c r="C25" s="16" t="s">
        <v>42</v>
      </c>
      <c r="D25" s="31">
        <f t="shared" si="9"/>
        <v>46011.599999999991</v>
      </c>
      <c r="E25" s="13">
        <f t="shared" si="10"/>
        <v>46013.599999999991</v>
      </c>
      <c r="F25" s="28">
        <v>2</v>
      </c>
      <c r="G25" s="35"/>
      <c r="H25" s="21">
        <f t="shared" ca="1" si="8"/>
        <v>0</v>
      </c>
      <c r="I25" s="13"/>
      <c r="J25" s="13"/>
      <c r="K25" s="28"/>
      <c r="L25" s="35"/>
      <c r="M25" s="24">
        <v>0</v>
      </c>
      <c r="N25" s="1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</row>
    <row r="26" spans="1:83" x14ac:dyDescent="0.35">
      <c r="A26" s="43"/>
      <c r="B26" s="16"/>
      <c r="C26" s="16" t="s">
        <v>43</v>
      </c>
      <c r="D26" s="31">
        <f t="shared" si="9"/>
        <v>46013.599999999991</v>
      </c>
      <c r="E26" s="13">
        <f t="shared" si="10"/>
        <v>46014.599999999991</v>
      </c>
      <c r="F26" s="28">
        <v>1</v>
      </c>
      <c r="G26" s="35"/>
      <c r="H26" s="21">
        <f t="shared" ca="1" si="8"/>
        <v>0</v>
      </c>
      <c r="I26" s="13"/>
      <c r="J26" s="13"/>
      <c r="K26" s="28"/>
      <c r="L26" s="35"/>
      <c r="M26" s="24">
        <v>0</v>
      </c>
      <c r="N26" s="1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</row>
    <row r="27" spans="1:83" x14ac:dyDescent="0.35">
      <c r="A27" s="43"/>
      <c r="B27" s="16"/>
      <c r="C27" s="16" t="s">
        <v>44</v>
      </c>
      <c r="D27" s="31">
        <f t="shared" si="9"/>
        <v>46014.599999999991</v>
      </c>
      <c r="E27" s="13">
        <f t="shared" si="10"/>
        <v>46016.599999999991</v>
      </c>
      <c r="F27" s="28">
        <v>2</v>
      </c>
      <c r="G27" s="35"/>
      <c r="H27" s="21">
        <f t="shared" ca="1" si="8"/>
        <v>0</v>
      </c>
      <c r="I27" s="13"/>
      <c r="J27" s="13"/>
      <c r="K27" s="28"/>
      <c r="L27" s="35"/>
      <c r="M27" s="24">
        <v>0</v>
      </c>
      <c r="N27" s="1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</row>
    <row r="28" spans="1:83" x14ac:dyDescent="0.35">
      <c r="A28" s="43"/>
      <c r="B28" s="16"/>
      <c r="C28" s="16" t="s">
        <v>43</v>
      </c>
      <c r="D28" s="31">
        <f t="shared" si="9"/>
        <v>46016.599999999991</v>
      </c>
      <c r="E28" s="13">
        <f t="shared" si="10"/>
        <v>46017.599999999991</v>
      </c>
      <c r="F28" s="28">
        <v>1</v>
      </c>
      <c r="G28" s="35"/>
      <c r="H28" s="21">
        <f t="shared" ca="1" si="8"/>
        <v>0</v>
      </c>
      <c r="I28" s="13"/>
      <c r="J28" s="13"/>
      <c r="K28" s="28"/>
      <c r="L28" s="35"/>
      <c r="M28" s="24">
        <v>0</v>
      </c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</row>
    <row r="29" spans="1:83" x14ac:dyDescent="0.35">
      <c r="A29" s="43"/>
      <c r="B29" s="16"/>
      <c r="C29" s="16" t="s">
        <v>41</v>
      </c>
      <c r="D29" s="31">
        <f>E28</f>
        <v>46017.599999999991</v>
      </c>
      <c r="E29" s="13">
        <f>D29+F29</f>
        <v>46019.599999999991</v>
      </c>
      <c r="F29" s="28">
        <v>2</v>
      </c>
      <c r="G29" s="35"/>
      <c r="H29" s="21">
        <f t="shared" ca="1" si="8"/>
        <v>0</v>
      </c>
      <c r="I29" s="13"/>
      <c r="J29" s="13"/>
      <c r="K29" s="28"/>
      <c r="L29" s="35"/>
      <c r="M29" s="24">
        <v>0</v>
      </c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</row>
    <row r="30" spans="1:83" x14ac:dyDescent="0.35">
      <c r="A30" s="43"/>
      <c r="B30" s="16"/>
      <c r="C30" s="16" t="s">
        <v>45</v>
      </c>
      <c r="D30" s="31">
        <f t="shared" si="9"/>
        <v>46019.599999999991</v>
      </c>
      <c r="E30" s="13">
        <f t="shared" si="10"/>
        <v>46020.599999999991</v>
      </c>
      <c r="F30" s="28">
        <v>1</v>
      </c>
      <c r="G30" s="35"/>
      <c r="H30" s="21">
        <f t="shared" ca="1" si="8"/>
        <v>0</v>
      </c>
      <c r="I30" s="13"/>
      <c r="J30" s="13"/>
      <c r="K30" s="28"/>
      <c r="L30" s="35"/>
      <c r="M30" s="24">
        <v>0</v>
      </c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x14ac:dyDescent="0.35">
      <c r="A31" s="43"/>
      <c r="B31" s="16"/>
      <c r="C31" s="16" t="s">
        <v>42</v>
      </c>
      <c r="D31" s="31">
        <f t="shared" si="9"/>
        <v>46020.599999999991</v>
      </c>
      <c r="E31" s="13">
        <f t="shared" si="10"/>
        <v>46022.599999999991</v>
      </c>
      <c r="F31" s="28">
        <v>2</v>
      </c>
      <c r="G31" s="35"/>
      <c r="H31" s="21">
        <f t="shared" ca="1" si="8"/>
        <v>0</v>
      </c>
      <c r="I31" s="13"/>
      <c r="J31" s="13"/>
      <c r="K31" s="28"/>
      <c r="L31" s="35"/>
      <c r="M31" s="24">
        <v>0</v>
      </c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x14ac:dyDescent="0.35">
      <c r="A32" s="43"/>
      <c r="B32" s="16"/>
      <c r="C32" s="16" t="s">
        <v>43</v>
      </c>
      <c r="D32" s="31">
        <f t="shared" si="9"/>
        <v>46022.599999999991</v>
      </c>
      <c r="E32" s="13">
        <f t="shared" si="10"/>
        <v>46024.599999999991</v>
      </c>
      <c r="F32" s="28">
        <v>2</v>
      </c>
      <c r="G32" s="35"/>
      <c r="H32" s="21">
        <f t="shared" ca="1" si="8"/>
        <v>0</v>
      </c>
      <c r="I32" s="13"/>
      <c r="J32" s="13"/>
      <c r="K32" s="28"/>
      <c r="L32" s="35"/>
      <c r="M32" s="24">
        <v>0</v>
      </c>
      <c r="N32" s="1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1:83" x14ac:dyDescent="0.35">
      <c r="A33" s="43"/>
      <c r="B33" s="16"/>
      <c r="C33" s="16" t="s">
        <v>44</v>
      </c>
      <c r="D33" s="31">
        <f t="shared" ref="D33:D42" si="11">E32</f>
        <v>46024.599999999991</v>
      </c>
      <c r="E33" s="13">
        <f t="shared" ref="E33:E42" si="12">D33+F33</f>
        <v>46027.266666666656</v>
      </c>
      <c r="F33" s="28">
        <v>2.6666666666666701</v>
      </c>
      <c r="G33" s="35"/>
      <c r="H33" s="21">
        <f t="shared" ref="H33:H42" ca="1" si="13">IF(D33="",0,IF(D33&gt;TODAY(),0,IF(E33&lt;TODAY(),1,(TODAY()-D33)/(E33-D33))))</f>
        <v>0</v>
      </c>
      <c r="I33" s="13"/>
      <c r="J33" s="13"/>
      <c r="K33" s="28"/>
      <c r="L33" s="35"/>
      <c r="M33" s="24">
        <v>0</v>
      </c>
      <c r="N33" s="1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1:83" x14ac:dyDescent="0.35">
      <c r="A34" s="43"/>
      <c r="B34" s="16"/>
      <c r="C34" s="16" t="s">
        <v>46</v>
      </c>
      <c r="D34" s="31">
        <f t="shared" si="11"/>
        <v>46027.266666666656</v>
      </c>
      <c r="E34" s="13">
        <f t="shared" si="12"/>
        <v>46028.266666666656</v>
      </c>
      <c r="F34" s="28">
        <v>1</v>
      </c>
      <c r="G34" s="35"/>
      <c r="H34" s="21">
        <f t="shared" ca="1" si="13"/>
        <v>0</v>
      </c>
      <c r="I34" s="13"/>
      <c r="J34" s="13"/>
      <c r="K34" s="28"/>
      <c r="L34" s="35"/>
      <c r="M34" s="24">
        <v>0</v>
      </c>
      <c r="N34" s="1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1:83" x14ac:dyDescent="0.35">
      <c r="A35" s="43"/>
      <c r="B35" s="16"/>
      <c r="C35" s="16" t="s">
        <v>42</v>
      </c>
      <c r="D35" s="31">
        <f t="shared" si="11"/>
        <v>46028.266666666656</v>
      </c>
      <c r="E35" s="13">
        <f t="shared" si="12"/>
        <v>46030.266666666656</v>
      </c>
      <c r="F35" s="28">
        <v>2</v>
      </c>
      <c r="G35" s="35"/>
      <c r="H35" s="21">
        <f t="shared" ca="1" si="13"/>
        <v>0</v>
      </c>
      <c r="I35" s="13"/>
      <c r="J35" s="13"/>
      <c r="K35" s="28"/>
      <c r="L35" s="35"/>
      <c r="M35" s="24">
        <v>0</v>
      </c>
      <c r="N35" s="1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1:83" x14ac:dyDescent="0.35">
      <c r="A36" s="43"/>
      <c r="B36" s="16"/>
      <c r="C36" s="16" t="s">
        <v>43</v>
      </c>
      <c r="D36" s="31">
        <f t="shared" si="11"/>
        <v>46030.266666666656</v>
      </c>
      <c r="E36" s="13">
        <f t="shared" si="12"/>
        <v>46031.266666666656</v>
      </c>
      <c r="F36" s="28">
        <v>1</v>
      </c>
      <c r="G36" s="35"/>
      <c r="H36" s="21">
        <f t="shared" ca="1" si="13"/>
        <v>0</v>
      </c>
      <c r="I36" s="13"/>
      <c r="J36" s="13"/>
      <c r="K36" s="28"/>
      <c r="L36" s="35"/>
      <c r="M36" s="24">
        <v>0</v>
      </c>
      <c r="N36" s="1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1:83" x14ac:dyDescent="0.35">
      <c r="A37" s="43"/>
      <c r="B37" s="16"/>
      <c r="C37" s="16" t="s">
        <v>44</v>
      </c>
      <c r="D37" s="31">
        <f t="shared" si="11"/>
        <v>46031.266666666656</v>
      </c>
      <c r="E37" s="13">
        <f t="shared" si="12"/>
        <v>46032.266666666656</v>
      </c>
      <c r="F37" s="28">
        <v>1</v>
      </c>
      <c r="G37" s="35"/>
      <c r="H37" s="21">
        <f t="shared" ca="1" si="13"/>
        <v>0</v>
      </c>
      <c r="I37" s="13"/>
      <c r="J37" s="13"/>
      <c r="K37" s="28"/>
      <c r="L37" s="35"/>
      <c r="M37" s="24">
        <v>0</v>
      </c>
      <c r="N37" s="1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</row>
    <row r="38" spans="1:83" x14ac:dyDescent="0.35">
      <c r="A38" s="43"/>
      <c r="B38" s="16" t="s">
        <v>75</v>
      </c>
      <c r="C38" s="16" t="s">
        <v>78</v>
      </c>
      <c r="D38" s="31">
        <f t="shared" si="11"/>
        <v>46032.266666666656</v>
      </c>
      <c r="E38" s="13">
        <f t="shared" si="12"/>
        <v>46034.266666666656</v>
      </c>
      <c r="F38" s="28">
        <v>2</v>
      </c>
      <c r="G38" s="35"/>
      <c r="H38" s="21">
        <f t="shared" ca="1" si="13"/>
        <v>0</v>
      </c>
      <c r="I38" s="13"/>
      <c r="J38" s="13"/>
      <c r="K38" s="28"/>
      <c r="L38" s="35"/>
      <c r="M38" s="24">
        <v>0</v>
      </c>
      <c r="N38" s="1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</row>
    <row r="39" spans="1:83" x14ac:dyDescent="0.35">
      <c r="A39" s="43"/>
      <c r="B39" s="16"/>
      <c r="C39" s="16" t="s">
        <v>47</v>
      </c>
      <c r="D39" s="31">
        <f t="shared" si="11"/>
        <v>46034.266666666656</v>
      </c>
      <c r="E39" s="13">
        <f t="shared" si="12"/>
        <v>46035.266666666656</v>
      </c>
      <c r="F39" s="28">
        <v>1</v>
      </c>
      <c r="G39" s="35"/>
      <c r="H39" s="21">
        <f t="shared" ca="1" si="13"/>
        <v>0</v>
      </c>
      <c r="I39" s="13"/>
      <c r="J39" s="13"/>
      <c r="K39" s="28"/>
      <c r="L39" s="35"/>
      <c r="M39" s="24">
        <v>0</v>
      </c>
      <c r="N39" s="1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</row>
    <row r="40" spans="1:83" x14ac:dyDescent="0.35">
      <c r="A40" s="43"/>
      <c r="B40" s="16"/>
      <c r="C40" s="16" t="s">
        <v>48</v>
      </c>
      <c r="D40" s="31">
        <f t="shared" si="11"/>
        <v>46035.266666666656</v>
      </c>
      <c r="E40" s="13">
        <f t="shared" si="12"/>
        <v>46037.266666666656</v>
      </c>
      <c r="F40" s="28">
        <v>2</v>
      </c>
      <c r="G40" s="35"/>
      <c r="H40" s="21">
        <f t="shared" ca="1" si="13"/>
        <v>0</v>
      </c>
      <c r="I40" s="13"/>
      <c r="J40" s="13"/>
      <c r="K40" s="28"/>
      <c r="L40" s="35"/>
      <c r="M40" s="24">
        <v>0</v>
      </c>
      <c r="N40" s="1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</row>
    <row r="41" spans="1:83" x14ac:dyDescent="0.35">
      <c r="A41" s="43"/>
      <c r="B41" s="16"/>
      <c r="C41" s="16" t="s">
        <v>49</v>
      </c>
      <c r="D41" s="31">
        <f t="shared" si="11"/>
        <v>46037.266666666656</v>
      </c>
      <c r="E41" s="13">
        <f t="shared" si="12"/>
        <v>46038.266666666656</v>
      </c>
      <c r="F41" s="28">
        <v>1</v>
      </c>
      <c r="G41" s="35"/>
      <c r="H41" s="21">
        <f t="shared" ca="1" si="13"/>
        <v>0</v>
      </c>
      <c r="I41" s="13"/>
      <c r="J41" s="13"/>
      <c r="K41" s="28"/>
      <c r="L41" s="35"/>
      <c r="M41" s="24">
        <v>0</v>
      </c>
      <c r="N41" s="12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</row>
    <row r="42" spans="1:83" x14ac:dyDescent="0.35">
      <c r="A42" s="43"/>
      <c r="B42" s="16" t="s">
        <v>75</v>
      </c>
      <c r="C42" s="16" t="s">
        <v>50</v>
      </c>
      <c r="D42" s="31">
        <f t="shared" si="11"/>
        <v>46038.266666666656</v>
      </c>
      <c r="E42" s="13">
        <f t="shared" si="12"/>
        <v>46040.266666666656</v>
      </c>
      <c r="F42" s="28">
        <v>2</v>
      </c>
      <c r="G42" s="35"/>
      <c r="H42" s="21">
        <f t="shared" ca="1" si="13"/>
        <v>0</v>
      </c>
      <c r="I42" s="13"/>
      <c r="J42" s="13"/>
      <c r="K42" s="28"/>
      <c r="L42" s="35"/>
      <c r="M42" s="24">
        <v>0</v>
      </c>
      <c r="N42" s="1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</row>
    <row r="43" spans="1:83" x14ac:dyDescent="0.35">
      <c r="A43" s="43"/>
      <c r="B43" s="16"/>
      <c r="C43" s="16"/>
      <c r="D43" s="13"/>
      <c r="E43" s="13"/>
      <c r="F43" s="28"/>
      <c r="G43" s="28"/>
      <c r="H43" s="21"/>
      <c r="I43" s="13"/>
      <c r="J43" s="13"/>
      <c r="K43" s="28"/>
      <c r="L43" s="29"/>
      <c r="M43" s="24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</row>
    <row r="44" spans="1:83" x14ac:dyDescent="0.35">
      <c r="A44" s="43"/>
      <c r="B44" s="16"/>
      <c r="C44" s="16"/>
      <c r="D44" s="13"/>
      <c r="E44" s="13"/>
      <c r="F44" s="28"/>
      <c r="G44" s="29"/>
      <c r="H44" s="21"/>
      <c r="I44" s="13"/>
      <c r="J44" s="13"/>
      <c r="K44" s="28"/>
      <c r="L44" s="29"/>
      <c r="M44" s="24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</row>
    <row r="45" spans="1:83" x14ac:dyDescent="0.35">
      <c r="A45" s="43"/>
      <c r="B45" s="16" t="str">
        <f t="shared" ref="B45" si="14">IF(C45="","",IF(C45&gt;=$H$6,"Ongoing","Legado"))</f>
        <v/>
      </c>
      <c r="C45" s="27"/>
      <c r="D45" s="13"/>
      <c r="E45" s="13"/>
      <c r="F45" s="12"/>
      <c r="G45" s="12"/>
      <c r="H45" s="21"/>
      <c r="I45" s="12"/>
      <c r="J45" s="12"/>
      <c r="K45" s="12"/>
      <c r="L45" s="29"/>
      <c r="M45" s="24"/>
      <c r="N45" s="1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7" spans="1:83" x14ac:dyDescent="0.35">
      <c r="D47" s="1"/>
    </row>
    <row r="50" spans="3:3" x14ac:dyDescent="0.35">
      <c r="C50" s="16" t="s">
        <v>28</v>
      </c>
    </row>
    <row r="51" spans="3:3" x14ac:dyDescent="0.35">
      <c r="C51" s="16" t="s">
        <v>29</v>
      </c>
    </row>
    <row r="52" spans="3:3" x14ac:dyDescent="0.35">
      <c r="C52" s="16" t="s">
        <v>30</v>
      </c>
    </row>
    <row r="53" spans="3:3" x14ac:dyDescent="0.35">
      <c r="C53" s="16" t="s">
        <v>31</v>
      </c>
    </row>
    <row r="54" spans="3:3" x14ac:dyDescent="0.35">
      <c r="C54" s="16" t="s">
        <v>32</v>
      </c>
    </row>
    <row r="55" spans="3:3" x14ac:dyDescent="0.35">
      <c r="C55" s="16" t="s">
        <v>33</v>
      </c>
    </row>
    <row r="56" spans="3:3" x14ac:dyDescent="0.35">
      <c r="C56" s="16" t="s">
        <v>34</v>
      </c>
    </row>
    <row r="57" spans="3:3" x14ac:dyDescent="0.35">
      <c r="C57" s="16" t="s">
        <v>35</v>
      </c>
    </row>
    <row r="58" spans="3:3" x14ac:dyDescent="0.35">
      <c r="C58" s="16" t="s">
        <v>36</v>
      </c>
    </row>
    <row r="59" spans="3:3" x14ac:dyDescent="0.35">
      <c r="C59" s="30" t="s">
        <v>37</v>
      </c>
    </row>
    <row r="60" spans="3:3" x14ac:dyDescent="0.35">
      <c r="C60" s="16" t="s">
        <v>38</v>
      </c>
    </row>
    <row r="61" spans="3:3" x14ac:dyDescent="0.35">
      <c r="C61" s="16" t="s">
        <v>39</v>
      </c>
    </row>
    <row r="62" spans="3:3" x14ac:dyDescent="0.35">
      <c r="C62" s="16" t="s">
        <v>40</v>
      </c>
    </row>
    <row r="63" spans="3:3" x14ac:dyDescent="0.35">
      <c r="C63" s="16" t="s">
        <v>41</v>
      </c>
    </row>
    <row r="64" spans="3:3" x14ac:dyDescent="0.35">
      <c r="C64" s="16" t="s">
        <v>42</v>
      </c>
    </row>
    <row r="65" spans="3:3" x14ac:dyDescent="0.35">
      <c r="C65" s="16" t="s">
        <v>43</v>
      </c>
    </row>
    <row r="66" spans="3:3" x14ac:dyDescent="0.35">
      <c r="C66" s="16" t="s">
        <v>44</v>
      </c>
    </row>
    <row r="67" spans="3:3" x14ac:dyDescent="0.35">
      <c r="C67" s="16" t="s">
        <v>45</v>
      </c>
    </row>
    <row r="68" spans="3:3" x14ac:dyDescent="0.35">
      <c r="C68" s="16" t="s">
        <v>42</v>
      </c>
    </row>
    <row r="69" spans="3:3" x14ac:dyDescent="0.35">
      <c r="C69" s="16" t="s">
        <v>43</v>
      </c>
    </row>
    <row r="70" spans="3:3" x14ac:dyDescent="0.35">
      <c r="C70" s="16" t="s">
        <v>44</v>
      </c>
    </row>
    <row r="71" spans="3:3" x14ac:dyDescent="0.35">
      <c r="C71" s="16" t="s">
        <v>46</v>
      </c>
    </row>
    <row r="72" spans="3:3" x14ac:dyDescent="0.35">
      <c r="C72" s="16" t="s">
        <v>42</v>
      </c>
    </row>
    <row r="73" spans="3:3" x14ac:dyDescent="0.35">
      <c r="C73" s="16" t="s">
        <v>43</v>
      </c>
    </row>
    <row r="74" spans="3:3" x14ac:dyDescent="0.35">
      <c r="C74" s="16" t="s">
        <v>44</v>
      </c>
    </row>
    <row r="75" spans="3:3" x14ac:dyDescent="0.35">
      <c r="C75" s="16"/>
    </row>
    <row r="76" spans="3:3" x14ac:dyDescent="0.35">
      <c r="C76" s="16" t="s">
        <v>47</v>
      </c>
    </row>
    <row r="77" spans="3:3" x14ac:dyDescent="0.35">
      <c r="C77" s="16" t="s">
        <v>48</v>
      </c>
    </row>
    <row r="78" spans="3:3" x14ac:dyDescent="0.35">
      <c r="C78" s="16" t="s">
        <v>49</v>
      </c>
    </row>
    <row r="79" spans="3:3" x14ac:dyDescent="0.35">
      <c r="C79" s="16" t="s">
        <v>50</v>
      </c>
    </row>
  </sheetData>
  <mergeCells count="2">
    <mergeCell ref="C2:D2"/>
    <mergeCell ref="C3:D5"/>
  </mergeCells>
  <conditionalFormatting sqref="H8:H4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{7FC342D4-7675-45B4-A01C-E353FF6633FA}</x14:id>
        </ext>
      </extLst>
    </cfRule>
  </conditionalFormatting>
  <conditionalFormatting sqref="M8:M4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{5421B18B-F249-4003-8CA4-A78F65DA8CB1}</x14:id>
        </ext>
      </extLst>
    </cfRule>
  </conditionalFormatting>
  <conditionalFormatting sqref="N6:CE45">
    <cfRule type="expression" dxfId="4" priority="4">
      <formula>N$6=TODAY()</formula>
    </cfRule>
  </conditionalFormatting>
  <conditionalFormatting sqref="N7:CE45">
    <cfRule type="expression" dxfId="2" priority="5">
      <formula>OR(WEEKDAY(N$6)=1,WEEKDAY(N$6)=7)</formula>
    </cfRule>
  </conditionalFormatting>
  <conditionalFormatting sqref="N8:CE45">
    <cfRule type="expression" dxfId="1" priority="6">
      <formula>AND($I8&lt;&gt;"",$J8&lt;&gt;"",N$6&lt;=data_progresso,N$6&gt;=$I8,N$6&lt;=$J8)</formula>
    </cfRule>
    <cfRule type="expression" dxfId="0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C342D4-7675-45B4-A01C-E353FF6633F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H8:H45</xm:sqref>
        </x14:conditionalFormatting>
        <x14:conditionalFormatting xmlns:xm="http://schemas.microsoft.com/office/excel/2006/main">
          <x14:cfRule type="dataBar" id="{5421B18B-F249-4003-8CA4-A78F65DA8CB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M8:M45</xm:sqref>
        </x14:conditionalFormatting>
        <x14:conditionalFormatting xmlns:xm="http://schemas.microsoft.com/office/excel/2006/main">
          <x14:cfRule type="expression" priority="3" id="{D6D9C00A-443F-46F0-9037-0CE2538F14FA}">
            <xm:f>MATCH(N$6,Feriados!$B:$B,0)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1C9E-F86B-4A3D-8251-6BC8D1A18102}">
  <dimension ref="B4:D1070"/>
  <sheetViews>
    <sheetView workbookViewId="0">
      <selection activeCell="F10" sqref="F10"/>
    </sheetView>
  </sheetViews>
  <sheetFormatPr defaultRowHeight="14.5" x14ac:dyDescent="0.35"/>
  <cols>
    <col min="2" max="2" width="8.7265625" style="10"/>
    <col min="3" max="3" width="23.54296875" style="10" bestFit="1" customWidth="1"/>
    <col min="4" max="4" width="8.7265625" style="10"/>
  </cols>
  <sheetData>
    <row r="4" spans="2:4" x14ac:dyDescent="0.35">
      <c r="B4" s="14" t="s">
        <v>0</v>
      </c>
      <c r="C4" s="14" t="s">
        <v>1</v>
      </c>
      <c r="D4" s="14" t="s">
        <v>2</v>
      </c>
    </row>
    <row r="5" spans="2:4" x14ac:dyDescent="0.35">
      <c r="B5" s="15">
        <v>43466</v>
      </c>
      <c r="C5" s="10" t="s">
        <v>10</v>
      </c>
      <c r="D5" s="10">
        <v>2019</v>
      </c>
    </row>
    <row r="6" spans="2:4" x14ac:dyDescent="0.35">
      <c r="B6" s="15">
        <v>43528</v>
      </c>
      <c r="C6" s="10" t="s">
        <v>3</v>
      </c>
      <c r="D6" s="10">
        <v>2019</v>
      </c>
    </row>
    <row r="7" spans="2:4" x14ac:dyDescent="0.35">
      <c r="B7" s="15">
        <v>43529</v>
      </c>
      <c r="C7" s="10" t="s">
        <v>3</v>
      </c>
      <c r="D7" s="10">
        <v>2019</v>
      </c>
    </row>
    <row r="8" spans="2:4" x14ac:dyDescent="0.35">
      <c r="B8" s="15">
        <v>43574</v>
      </c>
      <c r="C8" s="10" t="s">
        <v>16</v>
      </c>
      <c r="D8" s="10">
        <v>2019</v>
      </c>
    </row>
    <row r="9" spans="2:4" x14ac:dyDescent="0.35">
      <c r="B9" s="15">
        <v>43576</v>
      </c>
      <c r="C9" s="10" t="s">
        <v>11</v>
      </c>
      <c r="D9" s="10">
        <v>2019</v>
      </c>
    </row>
    <row r="10" spans="2:4" x14ac:dyDescent="0.35">
      <c r="B10" s="15">
        <v>43576</v>
      </c>
      <c r="C10" s="10" t="s">
        <v>17</v>
      </c>
      <c r="D10" s="10">
        <v>2019</v>
      </c>
    </row>
    <row r="11" spans="2:4" x14ac:dyDescent="0.35">
      <c r="B11" s="15">
        <v>43586</v>
      </c>
      <c r="C11" s="10" t="s">
        <v>12</v>
      </c>
      <c r="D11" s="10">
        <v>2019</v>
      </c>
    </row>
    <row r="12" spans="2:4" x14ac:dyDescent="0.35">
      <c r="B12" s="15">
        <v>43636</v>
      </c>
      <c r="C12" s="10" t="s">
        <v>18</v>
      </c>
      <c r="D12" s="10">
        <v>2019</v>
      </c>
    </row>
    <row r="13" spans="2:4" x14ac:dyDescent="0.35">
      <c r="B13" s="15">
        <v>43715</v>
      </c>
      <c r="C13" s="10" t="s">
        <v>19</v>
      </c>
      <c r="D13" s="10">
        <v>2019</v>
      </c>
    </row>
    <row r="14" spans="2:4" x14ac:dyDescent="0.35">
      <c r="B14" s="15">
        <v>43750</v>
      </c>
      <c r="C14" s="10" t="s">
        <v>20</v>
      </c>
      <c r="D14" s="10">
        <v>2019</v>
      </c>
    </row>
    <row r="15" spans="2:4" x14ac:dyDescent="0.35">
      <c r="B15" s="15">
        <v>43771</v>
      </c>
      <c r="C15" s="10" t="s">
        <v>13</v>
      </c>
      <c r="D15" s="10">
        <v>2019</v>
      </c>
    </row>
    <row r="16" spans="2:4" x14ac:dyDescent="0.35">
      <c r="B16" s="15">
        <v>43784</v>
      </c>
      <c r="C16" s="10" t="s">
        <v>14</v>
      </c>
      <c r="D16" s="10">
        <v>2019</v>
      </c>
    </row>
    <row r="17" spans="2:4" x14ac:dyDescent="0.35">
      <c r="B17" s="15">
        <v>43824</v>
      </c>
      <c r="C17" s="10" t="s">
        <v>15</v>
      </c>
      <c r="D17" s="10">
        <v>2019</v>
      </c>
    </row>
    <row r="18" spans="2:4" x14ac:dyDescent="0.35">
      <c r="B18" s="15">
        <v>43831</v>
      </c>
      <c r="C18" s="10" t="s">
        <v>10</v>
      </c>
      <c r="D18" s="10">
        <v>2020</v>
      </c>
    </row>
    <row r="19" spans="2:4" x14ac:dyDescent="0.35">
      <c r="B19" s="15">
        <v>43885</v>
      </c>
      <c r="C19" s="10" t="s">
        <v>3</v>
      </c>
      <c r="D19" s="10">
        <v>2020</v>
      </c>
    </row>
    <row r="20" spans="2:4" x14ac:dyDescent="0.35">
      <c r="B20" s="15">
        <v>43886</v>
      </c>
      <c r="C20" s="10" t="s">
        <v>3</v>
      </c>
      <c r="D20" s="10">
        <v>2020</v>
      </c>
    </row>
    <row r="21" spans="2:4" x14ac:dyDescent="0.35">
      <c r="B21" s="15">
        <v>43931</v>
      </c>
      <c r="C21" s="10" t="s">
        <v>16</v>
      </c>
      <c r="D21" s="10">
        <v>2020</v>
      </c>
    </row>
    <row r="22" spans="2:4" x14ac:dyDescent="0.35">
      <c r="B22" s="15">
        <v>43942</v>
      </c>
      <c r="C22" s="10" t="s">
        <v>11</v>
      </c>
      <c r="D22" s="10">
        <v>2020</v>
      </c>
    </row>
    <row r="23" spans="2:4" x14ac:dyDescent="0.35">
      <c r="B23" s="15">
        <v>43933</v>
      </c>
      <c r="C23" s="10" t="s">
        <v>17</v>
      </c>
      <c r="D23" s="10">
        <v>2020</v>
      </c>
    </row>
    <row r="24" spans="2:4" x14ac:dyDescent="0.35">
      <c r="B24" s="15">
        <v>43952</v>
      </c>
      <c r="C24" s="10" t="s">
        <v>12</v>
      </c>
      <c r="D24" s="10">
        <v>2020</v>
      </c>
    </row>
    <row r="25" spans="2:4" x14ac:dyDescent="0.35">
      <c r="B25" s="15">
        <v>43993</v>
      </c>
      <c r="C25" s="10" t="s">
        <v>18</v>
      </c>
      <c r="D25" s="10">
        <v>2020</v>
      </c>
    </row>
    <row r="26" spans="2:4" x14ac:dyDescent="0.35">
      <c r="B26" s="15">
        <v>44081</v>
      </c>
      <c r="C26" s="10" t="s">
        <v>19</v>
      </c>
      <c r="D26" s="10">
        <v>2020</v>
      </c>
    </row>
    <row r="27" spans="2:4" x14ac:dyDescent="0.35">
      <c r="B27" s="15">
        <v>44116</v>
      </c>
      <c r="C27" s="10" t="s">
        <v>20</v>
      </c>
      <c r="D27" s="10">
        <v>2020</v>
      </c>
    </row>
    <row r="28" spans="2:4" x14ac:dyDescent="0.35">
      <c r="B28" s="15">
        <v>44137</v>
      </c>
      <c r="C28" s="10" t="s">
        <v>13</v>
      </c>
      <c r="D28" s="10">
        <v>2020</v>
      </c>
    </row>
    <row r="29" spans="2:4" x14ac:dyDescent="0.35">
      <c r="B29" s="15">
        <v>44150</v>
      </c>
      <c r="C29" s="10" t="s">
        <v>14</v>
      </c>
      <c r="D29" s="10">
        <v>2020</v>
      </c>
    </row>
    <row r="30" spans="2:4" x14ac:dyDescent="0.35">
      <c r="B30" s="15">
        <v>44190</v>
      </c>
      <c r="C30" s="10" t="s">
        <v>15</v>
      </c>
      <c r="D30" s="10">
        <v>2020</v>
      </c>
    </row>
    <row r="31" spans="2:4" x14ac:dyDescent="0.35">
      <c r="B31" s="15">
        <v>44197</v>
      </c>
      <c r="C31" s="10" t="s">
        <v>10</v>
      </c>
      <c r="D31" s="10">
        <v>2021</v>
      </c>
    </row>
    <row r="32" spans="2:4" x14ac:dyDescent="0.35">
      <c r="B32" s="15">
        <v>44242</v>
      </c>
      <c r="C32" s="10" t="s">
        <v>3</v>
      </c>
      <c r="D32" s="10">
        <v>2021</v>
      </c>
    </row>
    <row r="33" spans="2:4" x14ac:dyDescent="0.35">
      <c r="B33" s="15">
        <v>44243</v>
      </c>
      <c r="C33" s="10" t="s">
        <v>3</v>
      </c>
      <c r="D33" s="10">
        <v>2021</v>
      </c>
    </row>
    <row r="34" spans="2:4" x14ac:dyDescent="0.35">
      <c r="B34" s="15">
        <v>44288</v>
      </c>
      <c r="C34" s="10" t="s">
        <v>16</v>
      </c>
      <c r="D34" s="10">
        <v>2021</v>
      </c>
    </row>
    <row r="35" spans="2:4" x14ac:dyDescent="0.35">
      <c r="B35" s="15">
        <v>44307</v>
      </c>
      <c r="C35" s="10" t="s">
        <v>11</v>
      </c>
      <c r="D35" s="10">
        <v>2021</v>
      </c>
    </row>
    <row r="36" spans="2:4" x14ac:dyDescent="0.35">
      <c r="B36" s="15">
        <v>44290</v>
      </c>
      <c r="C36" s="10" t="s">
        <v>17</v>
      </c>
      <c r="D36" s="10">
        <v>2021</v>
      </c>
    </row>
    <row r="37" spans="2:4" x14ac:dyDescent="0.35">
      <c r="B37" s="15">
        <v>44317</v>
      </c>
      <c r="C37" s="10" t="s">
        <v>12</v>
      </c>
      <c r="D37" s="10">
        <v>2021</v>
      </c>
    </row>
    <row r="38" spans="2:4" x14ac:dyDescent="0.35">
      <c r="B38" s="15">
        <v>44350</v>
      </c>
      <c r="C38" s="10" t="s">
        <v>18</v>
      </c>
      <c r="D38" s="10">
        <v>2021</v>
      </c>
    </row>
    <row r="39" spans="2:4" x14ac:dyDescent="0.35">
      <c r="B39" s="15">
        <v>44446</v>
      </c>
      <c r="C39" s="10" t="s">
        <v>19</v>
      </c>
      <c r="D39" s="10">
        <v>2021</v>
      </c>
    </row>
    <row r="40" spans="2:4" x14ac:dyDescent="0.35">
      <c r="B40" s="15">
        <v>44481</v>
      </c>
      <c r="C40" s="10" t="s">
        <v>20</v>
      </c>
      <c r="D40" s="10">
        <v>2021</v>
      </c>
    </row>
    <row r="41" spans="2:4" x14ac:dyDescent="0.35">
      <c r="B41" s="15">
        <v>44502</v>
      </c>
      <c r="C41" s="10" t="s">
        <v>13</v>
      </c>
      <c r="D41" s="10">
        <v>2021</v>
      </c>
    </row>
    <row r="42" spans="2:4" x14ac:dyDescent="0.35">
      <c r="B42" s="15">
        <v>44515</v>
      </c>
      <c r="C42" s="10" t="s">
        <v>14</v>
      </c>
      <c r="D42" s="10">
        <v>2021</v>
      </c>
    </row>
    <row r="43" spans="2:4" x14ac:dyDescent="0.35">
      <c r="B43" s="15">
        <v>44555</v>
      </c>
      <c r="C43" s="10" t="s">
        <v>15</v>
      </c>
      <c r="D43" s="10">
        <v>2021</v>
      </c>
    </row>
    <row r="44" spans="2:4" x14ac:dyDescent="0.35">
      <c r="B44" s="15">
        <v>44562</v>
      </c>
      <c r="C44" s="10" t="s">
        <v>10</v>
      </c>
      <c r="D44" s="10">
        <v>2022</v>
      </c>
    </row>
    <row r="45" spans="2:4" x14ac:dyDescent="0.35">
      <c r="B45" s="15">
        <v>44620</v>
      </c>
      <c r="C45" s="10" t="s">
        <v>3</v>
      </c>
      <c r="D45" s="10">
        <v>2022</v>
      </c>
    </row>
    <row r="46" spans="2:4" x14ac:dyDescent="0.35">
      <c r="B46" s="15">
        <v>44621</v>
      </c>
      <c r="C46" s="10" t="s">
        <v>3</v>
      </c>
      <c r="D46" s="10">
        <v>2022</v>
      </c>
    </row>
    <row r="47" spans="2:4" x14ac:dyDescent="0.35">
      <c r="B47" s="15">
        <v>44666</v>
      </c>
      <c r="C47" s="10" t="s">
        <v>16</v>
      </c>
      <c r="D47" s="10">
        <v>2022</v>
      </c>
    </row>
    <row r="48" spans="2:4" x14ac:dyDescent="0.35">
      <c r="B48" s="15">
        <v>44672</v>
      </c>
      <c r="C48" s="10" t="s">
        <v>11</v>
      </c>
      <c r="D48" s="10">
        <v>2022</v>
      </c>
    </row>
    <row r="49" spans="2:4" x14ac:dyDescent="0.35">
      <c r="B49" s="15">
        <v>44668</v>
      </c>
      <c r="C49" s="10" t="s">
        <v>17</v>
      </c>
      <c r="D49" s="10">
        <v>2022</v>
      </c>
    </row>
    <row r="50" spans="2:4" x14ac:dyDescent="0.35">
      <c r="B50" s="15">
        <v>44682</v>
      </c>
      <c r="C50" s="10" t="s">
        <v>12</v>
      </c>
      <c r="D50" s="10">
        <v>2022</v>
      </c>
    </row>
    <row r="51" spans="2:4" x14ac:dyDescent="0.35">
      <c r="B51" s="15">
        <v>44728</v>
      </c>
      <c r="C51" s="10" t="s">
        <v>18</v>
      </c>
      <c r="D51" s="10">
        <v>2022</v>
      </c>
    </row>
    <row r="52" spans="2:4" x14ac:dyDescent="0.35">
      <c r="B52" s="15">
        <v>44811</v>
      </c>
      <c r="C52" s="10" t="s">
        <v>19</v>
      </c>
      <c r="D52" s="10">
        <v>2022</v>
      </c>
    </row>
    <row r="53" spans="2:4" x14ac:dyDescent="0.35">
      <c r="B53" s="15">
        <v>44846</v>
      </c>
      <c r="C53" s="10" t="s">
        <v>20</v>
      </c>
      <c r="D53" s="10">
        <v>2022</v>
      </c>
    </row>
    <row r="54" spans="2:4" x14ac:dyDescent="0.35">
      <c r="B54" s="15">
        <v>44867</v>
      </c>
      <c r="C54" s="10" t="s">
        <v>13</v>
      </c>
      <c r="D54" s="10">
        <v>2022</v>
      </c>
    </row>
    <row r="55" spans="2:4" x14ac:dyDescent="0.35">
      <c r="B55" s="15">
        <v>44880</v>
      </c>
      <c r="C55" s="10" t="s">
        <v>14</v>
      </c>
      <c r="D55" s="10">
        <v>2022</v>
      </c>
    </row>
    <row r="56" spans="2:4" x14ac:dyDescent="0.35">
      <c r="B56" s="15">
        <v>44920</v>
      </c>
      <c r="C56" s="10" t="s">
        <v>15</v>
      </c>
      <c r="D56" s="10">
        <v>2022</v>
      </c>
    </row>
    <row r="57" spans="2:4" x14ac:dyDescent="0.35">
      <c r="B57" s="15">
        <v>44927</v>
      </c>
      <c r="C57" s="10" t="s">
        <v>10</v>
      </c>
      <c r="D57" s="10">
        <v>2023</v>
      </c>
    </row>
    <row r="58" spans="2:4" x14ac:dyDescent="0.35">
      <c r="B58" s="15">
        <v>44977</v>
      </c>
      <c r="C58" s="10" t="s">
        <v>3</v>
      </c>
      <c r="D58" s="10">
        <v>2023</v>
      </c>
    </row>
    <row r="59" spans="2:4" x14ac:dyDescent="0.35">
      <c r="B59" s="15">
        <v>44978</v>
      </c>
      <c r="C59" s="10" t="s">
        <v>3</v>
      </c>
      <c r="D59" s="10">
        <v>2023</v>
      </c>
    </row>
    <row r="60" spans="2:4" x14ac:dyDescent="0.35">
      <c r="B60" s="15">
        <v>45023</v>
      </c>
      <c r="C60" s="10" t="s">
        <v>16</v>
      </c>
      <c r="D60" s="10">
        <v>2023</v>
      </c>
    </row>
    <row r="61" spans="2:4" x14ac:dyDescent="0.35">
      <c r="B61" s="15">
        <v>45037</v>
      </c>
      <c r="C61" s="10" t="s">
        <v>11</v>
      </c>
      <c r="D61" s="10">
        <v>2023</v>
      </c>
    </row>
    <row r="62" spans="2:4" x14ac:dyDescent="0.35">
      <c r="B62" s="15">
        <v>45025</v>
      </c>
      <c r="C62" s="10" t="s">
        <v>17</v>
      </c>
      <c r="D62" s="10">
        <v>2023</v>
      </c>
    </row>
    <row r="63" spans="2:4" x14ac:dyDescent="0.35">
      <c r="B63" s="15">
        <v>45047</v>
      </c>
      <c r="C63" s="10" t="s">
        <v>12</v>
      </c>
      <c r="D63" s="10">
        <v>2023</v>
      </c>
    </row>
    <row r="64" spans="2:4" x14ac:dyDescent="0.35">
      <c r="B64" s="15">
        <v>45085</v>
      </c>
      <c r="C64" s="10" t="s">
        <v>18</v>
      </c>
      <c r="D64" s="10">
        <v>2023</v>
      </c>
    </row>
    <row r="65" spans="2:4" x14ac:dyDescent="0.35">
      <c r="B65" s="15">
        <v>45176</v>
      </c>
      <c r="C65" s="10" t="s">
        <v>19</v>
      </c>
      <c r="D65" s="10">
        <v>2023</v>
      </c>
    </row>
    <row r="66" spans="2:4" x14ac:dyDescent="0.35">
      <c r="B66" s="15">
        <v>45211</v>
      </c>
      <c r="C66" s="10" t="s">
        <v>20</v>
      </c>
      <c r="D66" s="10">
        <v>2023</v>
      </c>
    </row>
    <row r="67" spans="2:4" x14ac:dyDescent="0.35">
      <c r="B67" s="15">
        <v>45232</v>
      </c>
      <c r="C67" s="10" t="s">
        <v>13</v>
      </c>
      <c r="D67" s="10">
        <v>2023</v>
      </c>
    </row>
    <row r="68" spans="2:4" x14ac:dyDescent="0.35">
      <c r="B68" s="15">
        <v>45245</v>
      </c>
      <c r="C68" s="10" t="s">
        <v>14</v>
      </c>
      <c r="D68" s="10">
        <v>2023</v>
      </c>
    </row>
    <row r="69" spans="2:4" x14ac:dyDescent="0.35">
      <c r="B69" s="15">
        <v>45285</v>
      </c>
      <c r="C69" s="10" t="s">
        <v>15</v>
      </c>
      <c r="D69" s="10">
        <v>2023</v>
      </c>
    </row>
    <row r="70" spans="2:4" x14ac:dyDescent="0.35">
      <c r="B70" s="15">
        <v>45292</v>
      </c>
      <c r="C70" s="10" t="s">
        <v>10</v>
      </c>
      <c r="D70" s="10">
        <v>2024</v>
      </c>
    </row>
    <row r="71" spans="2:4" x14ac:dyDescent="0.35">
      <c r="B71" s="15">
        <v>45334</v>
      </c>
      <c r="C71" s="10" t="s">
        <v>3</v>
      </c>
      <c r="D71" s="10">
        <v>2024</v>
      </c>
    </row>
    <row r="72" spans="2:4" x14ac:dyDescent="0.35">
      <c r="B72" s="15">
        <v>45335</v>
      </c>
      <c r="C72" s="10" t="s">
        <v>3</v>
      </c>
      <c r="D72" s="10">
        <v>2024</v>
      </c>
    </row>
    <row r="73" spans="2:4" x14ac:dyDescent="0.35">
      <c r="B73" s="15">
        <v>45380</v>
      </c>
      <c r="C73" s="10" t="s">
        <v>16</v>
      </c>
      <c r="D73" s="10">
        <v>2024</v>
      </c>
    </row>
    <row r="74" spans="2:4" x14ac:dyDescent="0.35">
      <c r="B74" s="15">
        <v>45403</v>
      </c>
      <c r="C74" s="10" t="s">
        <v>11</v>
      </c>
      <c r="D74" s="10">
        <v>2024</v>
      </c>
    </row>
    <row r="75" spans="2:4" x14ac:dyDescent="0.35">
      <c r="B75" s="15">
        <v>45382</v>
      </c>
      <c r="C75" s="10" t="s">
        <v>17</v>
      </c>
      <c r="D75" s="10">
        <v>2024</v>
      </c>
    </row>
    <row r="76" spans="2:4" x14ac:dyDescent="0.35">
      <c r="B76" s="15">
        <v>45413</v>
      </c>
      <c r="C76" s="10" t="s">
        <v>12</v>
      </c>
      <c r="D76" s="10">
        <v>2024</v>
      </c>
    </row>
    <row r="77" spans="2:4" x14ac:dyDescent="0.35">
      <c r="B77" s="15">
        <v>45442</v>
      </c>
      <c r="C77" s="10" t="s">
        <v>18</v>
      </c>
      <c r="D77" s="10">
        <v>2024</v>
      </c>
    </row>
    <row r="78" spans="2:4" x14ac:dyDescent="0.35">
      <c r="B78" s="15">
        <v>45542</v>
      </c>
      <c r="C78" s="10" t="s">
        <v>19</v>
      </c>
      <c r="D78" s="10">
        <v>2024</v>
      </c>
    </row>
    <row r="79" spans="2:4" x14ac:dyDescent="0.35">
      <c r="B79" s="15">
        <v>45577</v>
      </c>
      <c r="C79" s="10" t="s">
        <v>20</v>
      </c>
      <c r="D79" s="10">
        <v>2024</v>
      </c>
    </row>
    <row r="80" spans="2:4" x14ac:dyDescent="0.35">
      <c r="B80" s="15">
        <v>45598</v>
      </c>
      <c r="C80" s="10" t="s">
        <v>13</v>
      </c>
      <c r="D80" s="10">
        <v>2024</v>
      </c>
    </row>
    <row r="81" spans="2:4" x14ac:dyDescent="0.35">
      <c r="B81" s="15">
        <v>45611</v>
      </c>
      <c r="C81" s="10" t="s">
        <v>14</v>
      </c>
      <c r="D81" s="10">
        <v>2024</v>
      </c>
    </row>
    <row r="82" spans="2:4" x14ac:dyDescent="0.35">
      <c r="B82" s="15">
        <v>45651</v>
      </c>
      <c r="C82" s="10" t="s">
        <v>15</v>
      </c>
      <c r="D82" s="10">
        <v>2024</v>
      </c>
    </row>
    <row r="83" spans="2:4" x14ac:dyDescent="0.35">
      <c r="B83" s="15">
        <v>45658</v>
      </c>
      <c r="C83" s="10" t="s">
        <v>10</v>
      </c>
      <c r="D83" s="10">
        <v>2025</v>
      </c>
    </row>
    <row r="84" spans="2:4" x14ac:dyDescent="0.35">
      <c r="B84" s="15">
        <v>45719</v>
      </c>
      <c r="C84" s="10" t="s">
        <v>3</v>
      </c>
      <c r="D84" s="10">
        <v>2025</v>
      </c>
    </row>
    <row r="85" spans="2:4" x14ac:dyDescent="0.35">
      <c r="B85" s="15">
        <v>45720</v>
      </c>
      <c r="C85" s="10" t="s">
        <v>3</v>
      </c>
      <c r="D85" s="10">
        <v>2025</v>
      </c>
    </row>
    <row r="86" spans="2:4" x14ac:dyDescent="0.35">
      <c r="B86" s="15">
        <v>45765</v>
      </c>
      <c r="C86" s="10" t="s">
        <v>16</v>
      </c>
      <c r="D86" s="10">
        <v>2025</v>
      </c>
    </row>
    <row r="87" spans="2:4" x14ac:dyDescent="0.35">
      <c r="B87" s="15">
        <v>45768</v>
      </c>
      <c r="C87" s="10" t="s">
        <v>11</v>
      </c>
      <c r="D87" s="10">
        <v>2025</v>
      </c>
    </row>
    <row r="88" spans="2:4" x14ac:dyDescent="0.35">
      <c r="B88" s="15">
        <v>45767</v>
      </c>
      <c r="C88" s="10" t="s">
        <v>17</v>
      </c>
      <c r="D88" s="10">
        <v>2025</v>
      </c>
    </row>
    <row r="89" spans="2:4" x14ac:dyDescent="0.35">
      <c r="B89" s="15">
        <v>45778</v>
      </c>
      <c r="C89" s="10" t="s">
        <v>12</v>
      </c>
      <c r="D89" s="10">
        <v>2025</v>
      </c>
    </row>
    <row r="90" spans="2:4" x14ac:dyDescent="0.35">
      <c r="B90" s="15">
        <v>45827</v>
      </c>
      <c r="C90" s="10" t="s">
        <v>18</v>
      </c>
      <c r="D90" s="10">
        <v>2025</v>
      </c>
    </row>
    <row r="91" spans="2:4" x14ac:dyDescent="0.35">
      <c r="B91" s="15">
        <v>45907</v>
      </c>
      <c r="C91" s="10" t="s">
        <v>19</v>
      </c>
      <c r="D91" s="10">
        <v>2025</v>
      </c>
    </row>
    <row r="92" spans="2:4" x14ac:dyDescent="0.35">
      <c r="B92" s="15">
        <v>45942</v>
      </c>
      <c r="C92" s="10" t="s">
        <v>20</v>
      </c>
      <c r="D92" s="10">
        <v>2025</v>
      </c>
    </row>
    <row r="93" spans="2:4" x14ac:dyDescent="0.35">
      <c r="B93" s="15">
        <v>45963</v>
      </c>
      <c r="C93" s="10" t="s">
        <v>13</v>
      </c>
      <c r="D93" s="10">
        <v>2025</v>
      </c>
    </row>
    <row r="94" spans="2:4" x14ac:dyDescent="0.35">
      <c r="B94" s="15">
        <v>45976</v>
      </c>
      <c r="C94" s="10" t="s">
        <v>14</v>
      </c>
      <c r="D94" s="10">
        <v>2025</v>
      </c>
    </row>
    <row r="95" spans="2:4" x14ac:dyDescent="0.35">
      <c r="B95" s="15">
        <v>46016</v>
      </c>
      <c r="C95" s="10" t="s">
        <v>15</v>
      </c>
      <c r="D95" s="10">
        <v>2025</v>
      </c>
    </row>
    <row r="96" spans="2:4" x14ac:dyDescent="0.35">
      <c r="B96" s="15">
        <v>46023</v>
      </c>
      <c r="C96" s="10" t="s">
        <v>10</v>
      </c>
      <c r="D96" s="10">
        <v>2026</v>
      </c>
    </row>
    <row r="97" spans="2:4" x14ac:dyDescent="0.35">
      <c r="B97" s="15">
        <v>46069</v>
      </c>
      <c r="C97" s="10" t="s">
        <v>3</v>
      </c>
      <c r="D97" s="10">
        <v>2026</v>
      </c>
    </row>
    <row r="98" spans="2:4" x14ac:dyDescent="0.35">
      <c r="B98" s="15">
        <v>46070</v>
      </c>
      <c r="C98" s="10" t="s">
        <v>3</v>
      </c>
      <c r="D98" s="10">
        <v>2026</v>
      </c>
    </row>
    <row r="99" spans="2:4" x14ac:dyDescent="0.35">
      <c r="B99" s="15">
        <v>46115</v>
      </c>
      <c r="C99" s="10" t="s">
        <v>16</v>
      </c>
      <c r="D99" s="10">
        <v>2026</v>
      </c>
    </row>
    <row r="100" spans="2:4" x14ac:dyDescent="0.35">
      <c r="B100" s="15">
        <v>46133</v>
      </c>
      <c r="C100" s="10" t="s">
        <v>11</v>
      </c>
      <c r="D100" s="10">
        <v>2026</v>
      </c>
    </row>
    <row r="101" spans="2:4" x14ac:dyDescent="0.35">
      <c r="B101" s="15">
        <v>46117</v>
      </c>
      <c r="C101" s="10" t="s">
        <v>17</v>
      </c>
      <c r="D101" s="10">
        <v>2026</v>
      </c>
    </row>
    <row r="102" spans="2:4" x14ac:dyDescent="0.35">
      <c r="B102" s="15">
        <v>46143</v>
      </c>
      <c r="C102" s="10" t="s">
        <v>12</v>
      </c>
      <c r="D102" s="10">
        <v>2026</v>
      </c>
    </row>
    <row r="103" spans="2:4" x14ac:dyDescent="0.35">
      <c r="B103" s="15">
        <v>46177</v>
      </c>
      <c r="C103" s="10" t="s">
        <v>18</v>
      </c>
      <c r="D103" s="10">
        <v>2026</v>
      </c>
    </row>
    <row r="104" spans="2:4" x14ac:dyDescent="0.35">
      <c r="B104" s="15">
        <v>46272</v>
      </c>
      <c r="C104" s="10" t="s">
        <v>19</v>
      </c>
      <c r="D104" s="10">
        <v>2026</v>
      </c>
    </row>
    <row r="105" spans="2:4" x14ac:dyDescent="0.35">
      <c r="B105" s="15">
        <v>46307</v>
      </c>
      <c r="C105" s="10" t="s">
        <v>20</v>
      </c>
      <c r="D105" s="10">
        <v>2026</v>
      </c>
    </row>
    <row r="106" spans="2:4" x14ac:dyDescent="0.35">
      <c r="B106" s="15">
        <v>46328</v>
      </c>
      <c r="C106" s="10" t="s">
        <v>13</v>
      </c>
      <c r="D106" s="10">
        <v>2026</v>
      </c>
    </row>
    <row r="107" spans="2:4" x14ac:dyDescent="0.35">
      <c r="B107" s="15">
        <v>46341</v>
      </c>
      <c r="C107" s="10" t="s">
        <v>14</v>
      </c>
      <c r="D107" s="10">
        <v>2026</v>
      </c>
    </row>
    <row r="108" spans="2:4" x14ac:dyDescent="0.35">
      <c r="B108" s="15">
        <v>46381</v>
      </c>
      <c r="C108" s="10" t="s">
        <v>15</v>
      </c>
      <c r="D108" s="10">
        <v>2026</v>
      </c>
    </row>
    <row r="109" spans="2:4" x14ac:dyDescent="0.35">
      <c r="B109" s="15">
        <v>46388</v>
      </c>
      <c r="C109" s="10" t="s">
        <v>10</v>
      </c>
      <c r="D109" s="10">
        <v>2027</v>
      </c>
    </row>
    <row r="110" spans="2:4" x14ac:dyDescent="0.35">
      <c r="B110" s="15">
        <v>46426</v>
      </c>
      <c r="C110" s="10" t="s">
        <v>3</v>
      </c>
      <c r="D110" s="10">
        <v>2027</v>
      </c>
    </row>
    <row r="111" spans="2:4" x14ac:dyDescent="0.35">
      <c r="B111" s="15">
        <v>46427</v>
      </c>
      <c r="C111" s="10" t="s">
        <v>3</v>
      </c>
      <c r="D111" s="10">
        <v>2027</v>
      </c>
    </row>
    <row r="112" spans="2:4" x14ac:dyDescent="0.35">
      <c r="B112" s="15">
        <v>46472</v>
      </c>
      <c r="C112" s="10" t="s">
        <v>16</v>
      </c>
      <c r="D112" s="10">
        <v>2027</v>
      </c>
    </row>
    <row r="113" spans="2:4" x14ac:dyDescent="0.35">
      <c r="B113" s="15">
        <v>46498</v>
      </c>
      <c r="C113" s="10" t="s">
        <v>11</v>
      </c>
      <c r="D113" s="10">
        <v>2027</v>
      </c>
    </row>
    <row r="114" spans="2:4" x14ac:dyDescent="0.35">
      <c r="B114" s="15">
        <v>46474</v>
      </c>
      <c r="C114" s="10" t="s">
        <v>17</v>
      </c>
      <c r="D114" s="10">
        <v>2027</v>
      </c>
    </row>
    <row r="115" spans="2:4" x14ac:dyDescent="0.35">
      <c r="B115" s="15">
        <v>46508</v>
      </c>
      <c r="C115" s="10" t="s">
        <v>12</v>
      </c>
      <c r="D115" s="10">
        <v>2027</v>
      </c>
    </row>
    <row r="116" spans="2:4" x14ac:dyDescent="0.35">
      <c r="B116" s="15">
        <v>46534</v>
      </c>
      <c r="C116" s="10" t="s">
        <v>18</v>
      </c>
      <c r="D116" s="10">
        <v>2027</v>
      </c>
    </row>
    <row r="117" spans="2:4" x14ac:dyDescent="0.35">
      <c r="B117" s="15">
        <v>46637</v>
      </c>
      <c r="C117" s="10" t="s">
        <v>19</v>
      </c>
      <c r="D117" s="10">
        <v>2027</v>
      </c>
    </row>
    <row r="118" spans="2:4" x14ac:dyDescent="0.35">
      <c r="B118" s="15">
        <v>46672</v>
      </c>
      <c r="C118" s="10" t="s">
        <v>20</v>
      </c>
      <c r="D118" s="10">
        <v>2027</v>
      </c>
    </row>
    <row r="119" spans="2:4" x14ac:dyDescent="0.35">
      <c r="B119" s="15">
        <v>46693</v>
      </c>
      <c r="C119" s="10" t="s">
        <v>13</v>
      </c>
      <c r="D119" s="10">
        <v>2027</v>
      </c>
    </row>
    <row r="120" spans="2:4" x14ac:dyDescent="0.35">
      <c r="B120" s="15">
        <v>46706</v>
      </c>
      <c r="C120" s="10" t="s">
        <v>14</v>
      </c>
      <c r="D120" s="10">
        <v>2027</v>
      </c>
    </row>
    <row r="121" spans="2:4" x14ac:dyDescent="0.35">
      <c r="B121" s="15">
        <v>46746</v>
      </c>
      <c r="C121" s="10" t="s">
        <v>15</v>
      </c>
      <c r="D121" s="10">
        <v>2027</v>
      </c>
    </row>
    <row r="122" spans="2:4" x14ac:dyDescent="0.35">
      <c r="B122" s="15">
        <v>46753</v>
      </c>
      <c r="C122" s="10" t="s">
        <v>10</v>
      </c>
      <c r="D122" s="10">
        <v>2028</v>
      </c>
    </row>
    <row r="123" spans="2:4" x14ac:dyDescent="0.35">
      <c r="B123" s="15">
        <v>46811</v>
      </c>
      <c r="C123" s="10" t="s">
        <v>3</v>
      </c>
      <c r="D123" s="10">
        <v>2028</v>
      </c>
    </row>
    <row r="124" spans="2:4" x14ac:dyDescent="0.35">
      <c r="B124" s="15">
        <v>46812</v>
      </c>
      <c r="C124" s="10" t="s">
        <v>3</v>
      </c>
      <c r="D124" s="10">
        <v>2028</v>
      </c>
    </row>
    <row r="125" spans="2:4" x14ac:dyDescent="0.35">
      <c r="B125" s="15">
        <v>46857</v>
      </c>
      <c r="C125" s="10" t="s">
        <v>16</v>
      </c>
      <c r="D125" s="10">
        <v>2028</v>
      </c>
    </row>
    <row r="126" spans="2:4" x14ac:dyDescent="0.35">
      <c r="B126" s="15">
        <v>46864</v>
      </c>
      <c r="C126" s="10" t="s">
        <v>11</v>
      </c>
      <c r="D126" s="10">
        <v>2028</v>
      </c>
    </row>
    <row r="127" spans="2:4" x14ac:dyDescent="0.35">
      <c r="B127" s="15">
        <v>46859</v>
      </c>
      <c r="C127" s="10" t="s">
        <v>17</v>
      </c>
      <c r="D127" s="10">
        <v>2028</v>
      </c>
    </row>
    <row r="128" spans="2:4" x14ac:dyDescent="0.35">
      <c r="B128" s="15">
        <v>46874</v>
      </c>
      <c r="C128" s="10" t="s">
        <v>12</v>
      </c>
      <c r="D128" s="10">
        <v>2028</v>
      </c>
    </row>
    <row r="129" spans="2:4" x14ac:dyDescent="0.35">
      <c r="B129" s="15">
        <v>46919</v>
      </c>
      <c r="C129" s="10" t="s">
        <v>18</v>
      </c>
      <c r="D129" s="10">
        <v>2028</v>
      </c>
    </row>
    <row r="130" spans="2:4" x14ac:dyDescent="0.35">
      <c r="B130" s="15">
        <v>47003</v>
      </c>
      <c r="C130" s="10" t="s">
        <v>19</v>
      </c>
      <c r="D130" s="10">
        <v>2028</v>
      </c>
    </row>
    <row r="131" spans="2:4" x14ac:dyDescent="0.35">
      <c r="B131" s="15">
        <v>47038</v>
      </c>
      <c r="C131" s="10" t="s">
        <v>20</v>
      </c>
      <c r="D131" s="10">
        <v>2028</v>
      </c>
    </row>
    <row r="132" spans="2:4" x14ac:dyDescent="0.35">
      <c r="B132" s="15">
        <v>47059</v>
      </c>
      <c r="C132" s="10" t="s">
        <v>13</v>
      </c>
      <c r="D132" s="10">
        <v>2028</v>
      </c>
    </row>
    <row r="133" spans="2:4" x14ac:dyDescent="0.35">
      <c r="B133" s="15">
        <v>47072</v>
      </c>
      <c r="C133" s="10" t="s">
        <v>14</v>
      </c>
      <c r="D133" s="10">
        <v>2028</v>
      </c>
    </row>
    <row r="134" spans="2:4" x14ac:dyDescent="0.35">
      <c r="B134" s="15">
        <v>47112</v>
      </c>
      <c r="C134" s="10" t="s">
        <v>15</v>
      </c>
      <c r="D134" s="10">
        <v>2028</v>
      </c>
    </row>
    <row r="135" spans="2:4" x14ac:dyDescent="0.35">
      <c r="B135" s="15">
        <v>47119</v>
      </c>
      <c r="C135" s="10" t="s">
        <v>10</v>
      </c>
      <c r="D135" s="10">
        <v>2029</v>
      </c>
    </row>
    <row r="136" spans="2:4" x14ac:dyDescent="0.35">
      <c r="B136" s="15">
        <v>47161</v>
      </c>
      <c r="C136" s="10" t="s">
        <v>3</v>
      </c>
      <c r="D136" s="10">
        <v>2029</v>
      </c>
    </row>
    <row r="137" spans="2:4" x14ac:dyDescent="0.35">
      <c r="B137" s="15">
        <v>47162</v>
      </c>
      <c r="C137" s="10" t="s">
        <v>3</v>
      </c>
      <c r="D137" s="10">
        <v>2029</v>
      </c>
    </row>
    <row r="138" spans="2:4" x14ac:dyDescent="0.35">
      <c r="B138" s="15">
        <v>47207</v>
      </c>
      <c r="C138" s="10" t="s">
        <v>16</v>
      </c>
      <c r="D138" s="10">
        <v>2029</v>
      </c>
    </row>
    <row r="139" spans="2:4" x14ac:dyDescent="0.35">
      <c r="B139" s="15">
        <v>47229</v>
      </c>
      <c r="C139" s="10" t="s">
        <v>11</v>
      </c>
      <c r="D139" s="10">
        <v>2029</v>
      </c>
    </row>
    <row r="140" spans="2:4" x14ac:dyDescent="0.35">
      <c r="B140" s="15">
        <v>47209</v>
      </c>
      <c r="C140" s="10" t="s">
        <v>17</v>
      </c>
      <c r="D140" s="10">
        <v>2029</v>
      </c>
    </row>
    <row r="141" spans="2:4" x14ac:dyDescent="0.35">
      <c r="B141" s="15">
        <v>47239</v>
      </c>
      <c r="C141" s="10" t="s">
        <v>12</v>
      </c>
      <c r="D141" s="10">
        <v>2029</v>
      </c>
    </row>
    <row r="142" spans="2:4" x14ac:dyDescent="0.35">
      <c r="B142" s="15">
        <v>47269</v>
      </c>
      <c r="C142" s="10" t="s">
        <v>18</v>
      </c>
      <c r="D142" s="10">
        <v>2029</v>
      </c>
    </row>
    <row r="143" spans="2:4" x14ac:dyDescent="0.35">
      <c r="B143" s="15">
        <v>47368</v>
      </c>
      <c r="C143" s="10" t="s">
        <v>19</v>
      </c>
      <c r="D143" s="10">
        <v>2029</v>
      </c>
    </row>
    <row r="144" spans="2:4" x14ac:dyDescent="0.35">
      <c r="B144" s="15">
        <v>47403</v>
      </c>
      <c r="C144" s="10" t="s">
        <v>20</v>
      </c>
      <c r="D144" s="10">
        <v>2029</v>
      </c>
    </row>
    <row r="145" spans="2:4" x14ac:dyDescent="0.35">
      <c r="B145" s="15">
        <v>47424</v>
      </c>
      <c r="C145" s="10" t="s">
        <v>13</v>
      </c>
      <c r="D145" s="10">
        <v>2029</v>
      </c>
    </row>
    <row r="146" spans="2:4" x14ac:dyDescent="0.35">
      <c r="B146" s="15">
        <v>47437</v>
      </c>
      <c r="C146" s="10" t="s">
        <v>14</v>
      </c>
      <c r="D146" s="10">
        <v>2029</v>
      </c>
    </row>
    <row r="147" spans="2:4" x14ac:dyDescent="0.35">
      <c r="B147" s="15">
        <v>47477</v>
      </c>
      <c r="C147" s="10" t="s">
        <v>15</v>
      </c>
      <c r="D147" s="10">
        <v>2029</v>
      </c>
    </row>
    <row r="148" spans="2:4" x14ac:dyDescent="0.35">
      <c r="B148" s="15">
        <v>47484</v>
      </c>
      <c r="C148" s="10" t="s">
        <v>10</v>
      </c>
      <c r="D148" s="10">
        <v>2030</v>
      </c>
    </row>
    <row r="149" spans="2:4" x14ac:dyDescent="0.35">
      <c r="B149" s="15">
        <v>47546</v>
      </c>
      <c r="C149" s="10" t="s">
        <v>3</v>
      </c>
      <c r="D149" s="10">
        <v>2030</v>
      </c>
    </row>
    <row r="150" spans="2:4" x14ac:dyDescent="0.35">
      <c r="B150" s="15">
        <v>47547</v>
      </c>
      <c r="C150" s="10" t="s">
        <v>3</v>
      </c>
      <c r="D150" s="10">
        <v>2030</v>
      </c>
    </row>
    <row r="151" spans="2:4" x14ac:dyDescent="0.35">
      <c r="B151" s="15">
        <v>47592</v>
      </c>
      <c r="C151" s="10" t="s">
        <v>16</v>
      </c>
      <c r="D151" s="10">
        <v>2030</v>
      </c>
    </row>
    <row r="152" spans="2:4" x14ac:dyDescent="0.35">
      <c r="B152" s="15">
        <v>47594</v>
      </c>
      <c r="C152" s="10" t="s">
        <v>11</v>
      </c>
      <c r="D152" s="10">
        <v>2030</v>
      </c>
    </row>
    <row r="153" spans="2:4" x14ac:dyDescent="0.35">
      <c r="B153" s="15">
        <v>47594</v>
      </c>
      <c r="C153" s="10" t="s">
        <v>17</v>
      </c>
      <c r="D153" s="10">
        <v>2030</v>
      </c>
    </row>
    <row r="154" spans="2:4" x14ac:dyDescent="0.35">
      <c r="B154" s="15">
        <v>47604</v>
      </c>
      <c r="C154" s="10" t="s">
        <v>12</v>
      </c>
      <c r="D154" s="10">
        <v>2030</v>
      </c>
    </row>
    <row r="155" spans="2:4" x14ac:dyDescent="0.35">
      <c r="B155" s="15">
        <v>47654</v>
      </c>
      <c r="C155" s="10" t="s">
        <v>18</v>
      </c>
      <c r="D155" s="10">
        <v>2030</v>
      </c>
    </row>
    <row r="156" spans="2:4" x14ac:dyDescent="0.35">
      <c r="B156" s="15">
        <v>47733</v>
      </c>
      <c r="C156" s="10" t="s">
        <v>19</v>
      </c>
      <c r="D156" s="10">
        <v>2030</v>
      </c>
    </row>
    <row r="157" spans="2:4" x14ac:dyDescent="0.35">
      <c r="B157" s="15">
        <v>47768</v>
      </c>
      <c r="C157" s="10" t="s">
        <v>20</v>
      </c>
      <c r="D157" s="10">
        <v>2030</v>
      </c>
    </row>
    <row r="158" spans="2:4" x14ac:dyDescent="0.35">
      <c r="B158" s="15">
        <v>47789</v>
      </c>
      <c r="C158" s="10" t="s">
        <v>13</v>
      </c>
      <c r="D158" s="10">
        <v>2030</v>
      </c>
    </row>
    <row r="159" spans="2:4" x14ac:dyDescent="0.35">
      <c r="B159" s="15">
        <v>47802</v>
      </c>
      <c r="C159" s="10" t="s">
        <v>14</v>
      </c>
      <c r="D159" s="10">
        <v>2030</v>
      </c>
    </row>
    <row r="160" spans="2:4" x14ac:dyDescent="0.35">
      <c r="B160" s="15">
        <v>47842</v>
      </c>
      <c r="C160" s="10" t="s">
        <v>15</v>
      </c>
      <c r="D160" s="10">
        <v>2030</v>
      </c>
    </row>
    <row r="161" spans="2:4" x14ac:dyDescent="0.35">
      <c r="B161" s="15">
        <v>47849</v>
      </c>
      <c r="C161" s="10" t="s">
        <v>10</v>
      </c>
      <c r="D161" s="10">
        <v>2031</v>
      </c>
    </row>
    <row r="162" spans="2:4" x14ac:dyDescent="0.35">
      <c r="B162" s="15">
        <v>47903</v>
      </c>
      <c r="C162" s="10" t="s">
        <v>3</v>
      </c>
      <c r="D162" s="10">
        <v>2031</v>
      </c>
    </row>
    <row r="163" spans="2:4" x14ac:dyDescent="0.35">
      <c r="B163" s="15">
        <v>47904</v>
      </c>
      <c r="C163" s="10" t="s">
        <v>3</v>
      </c>
      <c r="D163" s="10">
        <v>2031</v>
      </c>
    </row>
    <row r="164" spans="2:4" x14ac:dyDescent="0.35">
      <c r="B164" s="15">
        <v>47949</v>
      </c>
      <c r="C164" s="10" t="s">
        <v>16</v>
      </c>
      <c r="D164" s="10">
        <v>2031</v>
      </c>
    </row>
    <row r="165" spans="2:4" x14ac:dyDescent="0.35">
      <c r="B165" s="15">
        <v>47959</v>
      </c>
      <c r="C165" s="10" t="s">
        <v>11</v>
      </c>
      <c r="D165" s="10">
        <v>2031</v>
      </c>
    </row>
    <row r="166" spans="2:4" x14ac:dyDescent="0.35">
      <c r="B166" s="15">
        <v>47951</v>
      </c>
      <c r="C166" s="10" t="s">
        <v>17</v>
      </c>
      <c r="D166" s="10">
        <v>2031</v>
      </c>
    </row>
    <row r="167" spans="2:4" x14ac:dyDescent="0.35">
      <c r="B167" s="15">
        <v>47969</v>
      </c>
      <c r="C167" s="10" t="s">
        <v>12</v>
      </c>
      <c r="D167" s="10">
        <v>2031</v>
      </c>
    </row>
    <row r="168" spans="2:4" x14ac:dyDescent="0.35">
      <c r="B168" s="15">
        <v>48011</v>
      </c>
      <c r="C168" s="10" t="s">
        <v>18</v>
      </c>
      <c r="D168" s="10">
        <v>2031</v>
      </c>
    </row>
    <row r="169" spans="2:4" x14ac:dyDescent="0.35">
      <c r="B169" s="15">
        <v>48098</v>
      </c>
      <c r="C169" s="10" t="s">
        <v>19</v>
      </c>
      <c r="D169" s="10">
        <v>2031</v>
      </c>
    </row>
    <row r="170" spans="2:4" x14ac:dyDescent="0.35">
      <c r="B170" s="15">
        <v>48133</v>
      </c>
      <c r="C170" s="10" t="s">
        <v>20</v>
      </c>
      <c r="D170" s="10">
        <v>2031</v>
      </c>
    </row>
    <row r="171" spans="2:4" x14ac:dyDescent="0.35">
      <c r="B171" s="15">
        <v>48154</v>
      </c>
      <c r="C171" s="10" t="s">
        <v>13</v>
      </c>
      <c r="D171" s="10">
        <v>2031</v>
      </c>
    </row>
    <row r="172" spans="2:4" x14ac:dyDescent="0.35">
      <c r="B172" s="15">
        <v>48167</v>
      </c>
      <c r="C172" s="10" t="s">
        <v>14</v>
      </c>
      <c r="D172" s="10">
        <v>2031</v>
      </c>
    </row>
    <row r="173" spans="2:4" x14ac:dyDescent="0.35">
      <c r="B173" s="15">
        <v>48207</v>
      </c>
      <c r="C173" s="10" t="s">
        <v>15</v>
      </c>
      <c r="D173" s="10">
        <v>2031</v>
      </c>
    </row>
    <row r="174" spans="2:4" x14ac:dyDescent="0.35">
      <c r="B174" s="15">
        <v>48214</v>
      </c>
      <c r="C174" s="10" t="s">
        <v>10</v>
      </c>
      <c r="D174" s="10">
        <v>2032</v>
      </c>
    </row>
    <row r="175" spans="2:4" x14ac:dyDescent="0.35">
      <c r="B175" s="15">
        <v>48253</v>
      </c>
      <c r="C175" s="10" t="s">
        <v>3</v>
      </c>
      <c r="D175" s="10">
        <v>2032</v>
      </c>
    </row>
    <row r="176" spans="2:4" x14ac:dyDescent="0.35">
      <c r="B176" s="15">
        <v>48254</v>
      </c>
      <c r="C176" s="10" t="s">
        <v>3</v>
      </c>
      <c r="D176" s="10">
        <v>2032</v>
      </c>
    </row>
    <row r="177" spans="2:4" x14ac:dyDescent="0.35">
      <c r="B177" s="15">
        <v>48299</v>
      </c>
      <c r="C177" s="10" t="s">
        <v>16</v>
      </c>
      <c r="D177" s="10">
        <v>2032</v>
      </c>
    </row>
    <row r="178" spans="2:4" x14ac:dyDescent="0.35">
      <c r="B178" s="15">
        <v>48325</v>
      </c>
      <c r="C178" s="10" t="s">
        <v>11</v>
      </c>
      <c r="D178" s="10">
        <v>2032</v>
      </c>
    </row>
    <row r="179" spans="2:4" x14ac:dyDescent="0.35">
      <c r="B179" s="15">
        <v>48301</v>
      </c>
      <c r="C179" s="10" t="s">
        <v>17</v>
      </c>
      <c r="D179" s="10">
        <v>2032</v>
      </c>
    </row>
    <row r="180" spans="2:4" x14ac:dyDescent="0.35">
      <c r="B180" s="15">
        <v>48335</v>
      </c>
      <c r="C180" s="10" t="s">
        <v>12</v>
      </c>
      <c r="D180" s="10">
        <v>2032</v>
      </c>
    </row>
    <row r="181" spans="2:4" x14ac:dyDescent="0.35">
      <c r="B181" s="15">
        <v>48361</v>
      </c>
      <c r="C181" s="10" t="s">
        <v>18</v>
      </c>
      <c r="D181" s="10">
        <v>2032</v>
      </c>
    </row>
    <row r="182" spans="2:4" x14ac:dyDescent="0.35">
      <c r="B182" s="15">
        <v>48464</v>
      </c>
      <c r="C182" s="10" t="s">
        <v>19</v>
      </c>
      <c r="D182" s="10">
        <v>2032</v>
      </c>
    </row>
    <row r="183" spans="2:4" x14ac:dyDescent="0.35">
      <c r="B183" s="15">
        <v>48499</v>
      </c>
      <c r="C183" s="10" t="s">
        <v>20</v>
      </c>
      <c r="D183" s="10">
        <v>2032</v>
      </c>
    </row>
    <row r="184" spans="2:4" x14ac:dyDescent="0.35">
      <c r="B184" s="15">
        <v>48520</v>
      </c>
      <c r="C184" s="10" t="s">
        <v>13</v>
      </c>
      <c r="D184" s="10">
        <v>2032</v>
      </c>
    </row>
    <row r="185" spans="2:4" x14ac:dyDescent="0.35">
      <c r="B185" s="15">
        <v>48533</v>
      </c>
      <c r="C185" s="10" t="s">
        <v>14</v>
      </c>
      <c r="D185" s="10">
        <v>2032</v>
      </c>
    </row>
    <row r="186" spans="2:4" x14ac:dyDescent="0.35">
      <c r="B186" s="15">
        <v>48573</v>
      </c>
      <c r="C186" s="10" t="s">
        <v>15</v>
      </c>
      <c r="D186" s="10">
        <v>2032</v>
      </c>
    </row>
    <row r="187" spans="2:4" x14ac:dyDescent="0.35">
      <c r="B187" s="15">
        <v>48580</v>
      </c>
      <c r="C187" s="10" t="s">
        <v>10</v>
      </c>
      <c r="D187" s="10">
        <v>2033</v>
      </c>
    </row>
    <row r="188" spans="2:4" x14ac:dyDescent="0.35">
      <c r="B188" s="15">
        <v>48638</v>
      </c>
      <c r="C188" s="10" t="s">
        <v>3</v>
      </c>
      <c r="D188" s="10">
        <v>2033</v>
      </c>
    </row>
    <row r="189" spans="2:4" x14ac:dyDescent="0.35">
      <c r="B189" s="15">
        <v>48639</v>
      </c>
      <c r="C189" s="10" t="s">
        <v>3</v>
      </c>
      <c r="D189" s="10">
        <v>2033</v>
      </c>
    </row>
    <row r="190" spans="2:4" x14ac:dyDescent="0.35">
      <c r="B190" s="15">
        <v>48684</v>
      </c>
      <c r="C190" s="10" t="s">
        <v>16</v>
      </c>
      <c r="D190" s="10">
        <v>2033</v>
      </c>
    </row>
    <row r="191" spans="2:4" x14ac:dyDescent="0.35">
      <c r="B191" s="15">
        <v>48690</v>
      </c>
      <c r="C191" s="10" t="s">
        <v>11</v>
      </c>
      <c r="D191" s="10">
        <v>2033</v>
      </c>
    </row>
    <row r="192" spans="2:4" x14ac:dyDescent="0.35">
      <c r="B192" s="15">
        <v>48686</v>
      </c>
      <c r="C192" s="10" t="s">
        <v>17</v>
      </c>
      <c r="D192" s="10">
        <v>2033</v>
      </c>
    </row>
    <row r="193" spans="2:4" x14ac:dyDescent="0.35">
      <c r="B193" s="15">
        <v>48700</v>
      </c>
      <c r="C193" s="10" t="s">
        <v>12</v>
      </c>
      <c r="D193" s="10">
        <v>2033</v>
      </c>
    </row>
    <row r="194" spans="2:4" x14ac:dyDescent="0.35">
      <c r="B194" s="15">
        <v>48746</v>
      </c>
      <c r="C194" s="10" t="s">
        <v>18</v>
      </c>
      <c r="D194" s="10">
        <v>2033</v>
      </c>
    </row>
    <row r="195" spans="2:4" x14ac:dyDescent="0.35">
      <c r="B195" s="15">
        <v>48829</v>
      </c>
      <c r="C195" s="10" t="s">
        <v>19</v>
      </c>
      <c r="D195" s="10">
        <v>2033</v>
      </c>
    </row>
    <row r="196" spans="2:4" x14ac:dyDescent="0.35">
      <c r="B196" s="15">
        <v>48864</v>
      </c>
      <c r="C196" s="10" t="s">
        <v>20</v>
      </c>
      <c r="D196" s="10">
        <v>2033</v>
      </c>
    </row>
    <row r="197" spans="2:4" x14ac:dyDescent="0.35">
      <c r="B197" s="15">
        <v>48885</v>
      </c>
      <c r="C197" s="10" t="s">
        <v>13</v>
      </c>
      <c r="D197" s="10">
        <v>2033</v>
      </c>
    </row>
    <row r="198" spans="2:4" x14ac:dyDescent="0.35">
      <c r="B198" s="15">
        <v>48898</v>
      </c>
      <c r="C198" s="10" t="s">
        <v>14</v>
      </c>
      <c r="D198" s="10">
        <v>2033</v>
      </c>
    </row>
    <row r="199" spans="2:4" x14ac:dyDescent="0.35">
      <c r="B199" s="15">
        <v>48938</v>
      </c>
      <c r="C199" s="10" t="s">
        <v>15</v>
      </c>
      <c r="D199" s="10">
        <v>2033</v>
      </c>
    </row>
    <row r="200" spans="2:4" x14ac:dyDescent="0.35">
      <c r="B200" s="15">
        <v>48945</v>
      </c>
      <c r="C200" s="10" t="s">
        <v>10</v>
      </c>
      <c r="D200" s="10">
        <v>2034</v>
      </c>
    </row>
    <row r="201" spans="2:4" x14ac:dyDescent="0.35">
      <c r="B201" s="15">
        <v>48995</v>
      </c>
      <c r="C201" s="10" t="s">
        <v>3</v>
      </c>
      <c r="D201" s="10">
        <v>2034</v>
      </c>
    </row>
    <row r="202" spans="2:4" x14ac:dyDescent="0.35">
      <c r="B202" s="15">
        <v>48996</v>
      </c>
      <c r="C202" s="10" t="s">
        <v>3</v>
      </c>
      <c r="D202" s="10">
        <v>2034</v>
      </c>
    </row>
    <row r="203" spans="2:4" x14ac:dyDescent="0.35">
      <c r="B203" s="15">
        <v>49041</v>
      </c>
      <c r="C203" s="10" t="s">
        <v>16</v>
      </c>
      <c r="D203" s="10">
        <v>2034</v>
      </c>
    </row>
    <row r="204" spans="2:4" x14ac:dyDescent="0.35">
      <c r="B204" s="15">
        <v>49055</v>
      </c>
      <c r="C204" s="10" t="s">
        <v>11</v>
      </c>
      <c r="D204" s="10">
        <v>2034</v>
      </c>
    </row>
    <row r="205" spans="2:4" x14ac:dyDescent="0.35">
      <c r="B205" s="15">
        <v>49043</v>
      </c>
      <c r="C205" s="10" t="s">
        <v>17</v>
      </c>
      <c r="D205" s="10">
        <v>2034</v>
      </c>
    </row>
    <row r="206" spans="2:4" x14ac:dyDescent="0.35">
      <c r="B206" s="15">
        <v>49065</v>
      </c>
      <c r="C206" s="10" t="s">
        <v>12</v>
      </c>
      <c r="D206" s="10">
        <v>2034</v>
      </c>
    </row>
    <row r="207" spans="2:4" x14ac:dyDescent="0.35">
      <c r="B207" s="15">
        <v>49103</v>
      </c>
      <c r="C207" s="10" t="s">
        <v>18</v>
      </c>
      <c r="D207" s="10">
        <v>2034</v>
      </c>
    </row>
    <row r="208" spans="2:4" x14ac:dyDescent="0.35">
      <c r="B208" s="15">
        <v>49194</v>
      </c>
      <c r="C208" s="10" t="s">
        <v>19</v>
      </c>
      <c r="D208" s="10">
        <v>2034</v>
      </c>
    </row>
    <row r="209" spans="2:4" x14ac:dyDescent="0.35">
      <c r="B209" s="15">
        <v>49229</v>
      </c>
      <c r="C209" s="10" t="s">
        <v>20</v>
      </c>
      <c r="D209" s="10">
        <v>2034</v>
      </c>
    </row>
    <row r="210" spans="2:4" x14ac:dyDescent="0.35">
      <c r="B210" s="15">
        <v>49250</v>
      </c>
      <c r="C210" s="10" t="s">
        <v>13</v>
      </c>
      <c r="D210" s="10">
        <v>2034</v>
      </c>
    </row>
    <row r="211" spans="2:4" x14ac:dyDescent="0.35">
      <c r="B211" s="15">
        <v>49263</v>
      </c>
      <c r="C211" s="10" t="s">
        <v>14</v>
      </c>
      <c r="D211" s="10">
        <v>2034</v>
      </c>
    </row>
    <row r="212" spans="2:4" x14ac:dyDescent="0.35">
      <c r="B212" s="15">
        <v>49303</v>
      </c>
      <c r="C212" s="10" t="s">
        <v>15</v>
      </c>
      <c r="D212" s="10">
        <v>2034</v>
      </c>
    </row>
    <row r="213" spans="2:4" x14ac:dyDescent="0.35">
      <c r="B213" s="15">
        <v>49310</v>
      </c>
      <c r="C213" s="10" t="s">
        <v>10</v>
      </c>
      <c r="D213" s="10">
        <v>2035</v>
      </c>
    </row>
    <row r="214" spans="2:4" x14ac:dyDescent="0.35">
      <c r="B214" s="15">
        <v>49345</v>
      </c>
      <c r="C214" s="10" t="s">
        <v>3</v>
      </c>
      <c r="D214" s="10">
        <v>2035</v>
      </c>
    </row>
    <row r="215" spans="2:4" x14ac:dyDescent="0.35">
      <c r="B215" s="15">
        <v>49346</v>
      </c>
      <c r="C215" s="10" t="s">
        <v>3</v>
      </c>
      <c r="D215" s="10">
        <v>2035</v>
      </c>
    </row>
    <row r="216" spans="2:4" x14ac:dyDescent="0.35">
      <c r="B216" s="15">
        <v>49391</v>
      </c>
      <c r="C216" s="10" t="s">
        <v>16</v>
      </c>
      <c r="D216" s="10">
        <v>2035</v>
      </c>
    </row>
    <row r="217" spans="2:4" x14ac:dyDescent="0.35">
      <c r="B217" s="15">
        <v>49420</v>
      </c>
      <c r="C217" s="10" t="s">
        <v>11</v>
      </c>
      <c r="D217" s="10">
        <v>2035</v>
      </c>
    </row>
    <row r="218" spans="2:4" x14ac:dyDescent="0.35">
      <c r="B218" s="15">
        <v>49393</v>
      </c>
      <c r="C218" s="10" t="s">
        <v>17</v>
      </c>
      <c r="D218" s="10">
        <v>2035</v>
      </c>
    </row>
    <row r="219" spans="2:4" x14ac:dyDescent="0.35">
      <c r="B219" s="15">
        <v>49430</v>
      </c>
      <c r="C219" s="10" t="s">
        <v>12</v>
      </c>
      <c r="D219" s="10">
        <v>2035</v>
      </c>
    </row>
    <row r="220" spans="2:4" x14ac:dyDescent="0.35">
      <c r="B220" s="15">
        <v>49453</v>
      </c>
      <c r="C220" s="10" t="s">
        <v>18</v>
      </c>
      <c r="D220" s="10">
        <v>2035</v>
      </c>
    </row>
    <row r="221" spans="2:4" x14ac:dyDescent="0.35">
      <c r="B221" s="15">
        <v>49559</v>
      </c>
      <c r="C221" s="10" t="s">
        <v>19</v>
      </c>
      <c r="D221" s="10">
        <v>2035</v>
      </c>
    </row>
    <row r="222" spans="2:4" x14ac:dyDescent="0.35">
      <c r="B222" s="15">
        <v>49594</v>
      </c>
      <c r="C222" s="10" t="s">
        <v>20</v>
      </c>
      <c r="D222" s="10">
        <v>2035</v>
      </c>
    </row>
    <row r="223" spans="2:4" x14ac:dyDescent="0.35">
      <c r="B223" s="15">
        <v>49615</v>
      </c>
      <c r="C223" s="10" t="s">
        <v>13</v>
      </c>
      <c r="D223" s="10">
        <v>2035</v>
      </c>
    </row>
    <row r="224" spans="2:4" x14ac:dyDescent="0.35">
      <c r="B224" s="15">
        <v>49628</v>
      </c>
      <c r="C224" s="10" t="s">
        <v>14</v>
      </c>
      <c r="D224" s="10">
        <v>2035</v>
      </c>
    </row>
    <row r="225" spans="2:4" x14ac:dyDescent="0.35">
      <c r="B225" s="15">
        <v>49668</v>
      </c>
      <c r="C225" s="10" t="s">
        <v>15</v>
      </c>
      <c r="D225" s="10">
        <v>2035</v>
      </c>
    </row>
    <row r="226" spans="2:4" x14ac:dyDescent="0.35">
      <c r="B226" s="15">
        <v>49675</v>
      </c>
      <c r="C226" s="10" t="s">
        <v>10</v>
      </c>
      <c r="D226" s="10">
        <v>2036</v>
      </c>
    </row>
    <row r="227" spans="2:4" x14ac:dyDescent="0.35">
      <c r="B227" s="15">
        <v>49730</v>
      </c>
      <c r="C227" s="10" t="s">
        <v>3</v>
      </c>
      <c r="D227" s="10">
        <v>2036</v>
      </c>
    </row>
    <row r="228" spans="2:4" x14ac:dyDescent="0.35">
      <c r="B228" s="15">
        <v>49731</v>
      </c>
      <c r="C228" s="10" t="s">
        <v>3</v>
      </c>
      <c r="D228" s="10">
        <v>2036</v>
      </c>
    </row>
    <row r="229" spans="2:4" x14ac:dyDescent="0.35">
      <c r="B229" s="15">
        <v>49776</v>
      </c>
      <c r="C229" s="10" t="s">
        <v>16</v>
      </c>
      <c r="D229" s="10">
        <v>2036</v>
      </c>
    </row>
    <row r="230" spans="2:4" x14ac:dyDescent="0.35">
      <c r="B230" s="15">
        <v>49786</v>
      </c>
      <c r="C230" s="10" t="s">
        <v>11</v>
      </c>
      <c r="D230" s="10">
        <v>2036</v>
      </c>
    </row>
    <row r="231" spans="2:4" x14ac:dyDescent="0.35">
      <c r="B231" s="15">
        <v>49778</v>
      </c>
      <c r="C231" s="10" t="s">
        <v>17</v>
      </c>
      <c r="D231" s="10">
        <v>2036</v>
      </c>
    </row>
    <row r="232" spans="2:4" x14ac:dyDescent="0.35">
      <c r="B232" s="15">
        <v>49796</v>
      </c>
      <c r="C232" s="10" t="s">
        <v>12</v>
      </c>
      <c r="D232" s="10">
        <v>2036</v>
      </c>
    </row>
    <row r="233" spans="2:4" x14ac:dyDescent="0.35">
      <c r="B233" s="15">
        <v>49838</v>
      </c>
      <c r="C233" s="10" t="s">
        <v>18</v>
      </c>
      <c r="D233" s="10">
        <v>2036</v>
      </c>
    </row>
    <row r="234" spans="2:4" x14ac:dyDescent="0.35">
      <c r="B234" s="15">
        <v>49925</v>
      </c>
      <c r="C234" s="10" t="s">
        <v>19</v>
      </c>
      <c r="D234" s="10">
        <v>2036</v>
      </c>
    </row>
    <row r="235" spans="2:4" x14ac:dyDescent="0.35">
      <c r="B235" s="15">
        <v>49960</v>
      </c>
      <c r="C235" s="10" t="s">
        <v>20</v>
      </c>
      <c r="D235" s="10">
        <v>2036</v>
      </c>
    </row>
    <row r="236" spans="2:4" x14ac:dyDescent="0.35">
      <c r="B236" s="15">
        <v>49981</v>
      </c>
      <c r="C236" s="10" t="s">
        <v>13</v>
      </c>
      <c r="D236" s="10">
        <v>2036</v>
      </c>
    </row>
    <row r="237" spans="2:4" x14ac:dyDescent="0.35">
      <c r="B237" s="15">
        <v>49994</v>
      </c>
      <c r="C237" s="10" t="s">
        <v>14</v>
      </c>
      <c r="D237" s="10">
        <v>2036</v>
      </c>
    </row>
    <row r="238" spans="2:4" x14ac:dyDescent="0.35">
      <c r="B238" s="15">
        <v>50034</v>
      </c>
      <c r="C238" s="10" t="s">
        <v>15</v>
      </c>
      <c r="D238" s="10">
        <v>2036</v>
      </c>
    </row>
    <row r="239" spans="2:4" x14ac:dyDescent="0.35">
      <c r="B239" s="15">
        <v>50041</v>
      </c>
      <c r="C239" s="10" t="s">
        <v>10</v>
      </c>
      <c r="D239" s="10">
        <v>2037</v>
      </c>
    </row>
    <row r="240" spans="2:4" x14ac:dyDescent="0.35">
      <c r="B240" s="15">
        <v>50087</v>
      </c>
      <c r="C240" s="10" t="s">
        <v>3</v>
      </c>
      <c r="D240" s="10">
        <v>2037</v>
      </c>
    </row>
    <row r="241" spans="2:4" x14ac:dyDescent="0.35">
      <c r="B241" s="15">
        <v>50088</v>
      </c>
      <c r="C241" s="10" t="s">
        <v>3</v>
      </c>
      <c r="D241" s="10">
        <v>2037</v>
      </c>
    </row>
    <row r="242" spans="2:4" x14ac:dyDescent="0.35">
      <c r="B242" s="15">
        <v>50133</v>
      </c>
      <c r="C242" s="10" t="s">
        <v>16</v>
      </c>
      <c r="D242" s="10">
        <v>2037</v>
      </c>
    </row>
    <row r="243" spans="2:4" x14ac:dyDescent="0.35">
      <c r="B243" s="15">
        <v>50151</v>
      </c>
      <c r="C243" s="10" t="s">
        <v>11</v>
      </c>
      <c r="D243" s="10">
        <v>2037</v>
      </c>
    </row>
    <row r="244" spans="2:4" x14ac:dyDescent="0.35">
      <c r="B244" s="15">
        <v>50135</v>
      </c>
      <c r="C244" s="10" t="s">
        <v>17</v>
      </c>
      <c r="D244" s="10">
        <v>2037</v>
      </c>
    </row>
    <row r="245" spans="2:4" x14ac:dyDescent="0.35">
      <c r="B245" s="15">
        <v>50161</v>
      </c>
      <c r="C245" s="10" t="s">
        <v>12</v>
      </c>
      <c r="D245" s="10">
        <v>2037</v>
      </c>
    </row>
    <row r="246" spans="2:4" x14ac:dyDescent="0.35">
      <c r="B246" s="15">
        <v>50195</v>
      </c>
      <c r="C246" s="10" t="s">
        <v>18</v>
      </c>
      <c r="D246" s="10">
        <v>2037</v>
      </c>
    </row>
    <row r="247" spans="2:4" x14ac:dyDescent="0.35">
      <c r="B247" s="15">
        <v>50290</v>
      </c>
      <c r="C247" s="10" t="s">
        <v>19</v>
      </c>
      <c r="D247" s="10">
        <v>2037</v>
      </c>
    </row>
    <row r="248" spans="2:4" x14ac:dyDescent="0.35">
      <c r="B248" s="15">
        <v>50325</v>
      </c>
      <c r="C248" s="10" t="s">
        <v>20</v>
      </c>
      <c r="D248" s="10">
        <v>2037</v>
      </c>
    </row>
    <row r="249" spans="2:4" x14ac:dyDescent="0.35">
      <c r="B249" s="15">
        <v>50346</v>
      </c>
      <c r="C249" s="10" t="s">
        <v>13</v>
      </c>
      <c r="D249" s="10">
        <v>2037</v>
      </c>
    </row>
    <row r="250" spans="2:4" x14ac:dyDescent="0.35">
      <c r="B250" s="15">
        <v>50359</v>
      </c>
      <c r="C250" s="10" t="s">
        <v>14</v>
      </c>
      <c r="D250" s="10">
        <v>2037</v>
      </c>
    </row>
    <row r="251" spans="2:4" x14ac:dyDescent="0.35">
      <c r="B251" s="15">
        <v>50399</v>
      </c>
      <c r="C251" s="10" t="s">
        <v>15</v>
      </c>
      <c r="D251" s="10">
        <v>2037</v>
      </c>
    </row>
    <row r="252" spans="2:4" x14ac:dyDescent="0.35">
      <c r="B252" s="15">
        <v>50406</v>
      </c>
      <c r="C252" s="10" t="s">
        <v>10</v>
      </c>
      <c r="D252" s="10">
        <v>2038</v>
      </c>
    </row>
    <row r="253" spans="2:4" x14ac:dyDescent="0.35">
      <c r="B253" s="15">
        <v>50472</v>
      </c>
      <c r="C253" s="10" t="s">
        <v>3</v>
      </c>
      <c r="D253" s="10">
        <v>2038</v>
      </c>
    </row>
    <row r="254" spans="2:4" x14ac:dyDescent="0.35">
      <c r="B254" s="15">
        <v>50473</v>
      </c>
      <c r="C254" s="10" t="s">
        <v>3</v>
      </c>
      <c r="D254" s="10">
        <v>2038</v>
      </c>
    </row>
    <row r="255" spans="2:4" x14ac:dyDescent="0.35">
      <c r="B255" s="15">
        <v>50518</v>
      </c>
      <c r="C255" s="10" t="s">
        <v>16</v>
      </c>
      <c r="D255" s="10">
        <v>2038</v>
      </c>
    </row>
    <row r="256" spans="2:4" x14ac:dyDescent="0.35">
      <c r="B256" s="15">
        <v>50516</v>
      </c>
      <c r="C256" s="10" t="s">
        <v>11</v>
      </c>
      <c r="D256" s="10">
        <v>2038</v>
      </c>
    </row>
    <row r="257" spans="2:4" x14ac:dyDescent="0.35">
      <c r="B257" s="15">
        <v>50520</v>
      </c>
      <c r="C257" s="10" t="s">
        <v>17</v>
      </c>
      <c r="D257" s="10">
        <v>2038</v>
      </c>
    </row>
    <row r="258" spans="2:4" x14ac:dyDescent="0.35">
      <c r="B258" s="15">
        <v>50526</v>
      </c>
      <c r="C258" s="10" t="s">
        <v>12</v>
      </c>
      <c r="D258" s="10">
        <v>2038</v>
      </c>
    </row>
    <row r="259" spans="2:4" x14ac:dyDescent="0.35">
      <c r="B259" s="15">
        <v>50580</v>
      </c>
      <c r="C259" s="10" t="s">
        <v>18</v>
      </c>
      <c r="D259" s="10">
        <v>2038</v>
      </c>
    </row>
    <row r="260" spans="2:4" x14ac:dyDescent="0.35">
      <c r="B260" s="15">
        <v>50655</v>
      </c>
      <c r="C260" s="10" t="s">
        <v>19</v>
      </c>
      <c r="D260" s="10">
        <v>2038</v>
      </c>
    </row>
    <row r="261" spans="2:4" x14ac:dyDescent="0.35">
      <c r="B261" s="15">
        <v>50690</v>
      </c>
      <c r="C261" s="10" t="s">
        <v>20</v>
      </c>
      <c r="D261" s="10">
        <v>2038</v>
      </c>
    </row>
    <row r="262" spans="2:4" x14ac:dyDescent="0.35">
      <c r="B262" s="15">
        <v>50711</v>
      </c>
      <c r="C262" s="10" t="s">
        <v>13</v>
      </c>
      <c r="D262" s="10">
        <v>2038</v>
      </c>
    </row>
    <row r="263" spans="2:4" x14ac:dyDescent="0.35">
      <c r="B263" s="15">
        <v>50724</v>
      </c>
      <c r="C263" s="10" t="s">
        <v>14</v>
      </c>
      <c r="D263" s="10">
        <v>2038</v>
      </c>
    </row>
    <row r="264" spans="2:4" x14ac:dyDescent="0.35">
      <c r="B264" s="15">
        <v>50764</v>
      </c>
      <c r="C264" s="10" t="s">
        <v>15</v>
      </c>
      <c r="D264" s="10">
        <v>2038</v>
      </c>
    </row>
    <row r="265" spans="2:4" x14ac:dyDescent="0.35">
      <c r="B265" s="15">
        <v>50771</v>
      </c>
      <c r="C265" s="10" t="s">
        <v>10</v>
      </c>
      <c r="D265" s="10">
        <v>2039</v>
      </c>
    </row>
    <row r="266" spans="2:4" x14ac:dyDescent="0.35">
      <c r="B266" s="15">
        <v>50822</v>
      </c>
      <c r="C266" s="10" t="s">
        <v>3</v>
      </c>
      <c r="D266" s="10">
        <v>2039</v>
      </c>
    </row>
    <row r="267" spans="2:4" x14ac:dyDescent="0.35">
      <c r="B267" s="15">
        <v>50823</v>
      </c>
      <c r="C267" s="10" t="s">
        <v>3</v>
      </c>
      <c r="D267" s="10">
        <v>2039</v>
      </c>
    </row>
    <row r="268" spans="2:4" x14ac:dyDescent="0.35">
      <c r="B268" s="15">
        <v>50868</v>
      </c>
      <c r="C268" s="10" t="s">
        <v>16</v>
      </c>
      <c r="D268" s="10">
        <v>2039</v>
      </c>
    </row>
    <row r="269" spans="2:4" x14ac:dyDescent="0.35">
      <c r="B269" s="15">
        <v>50881</v>
      </c>
      <c r="C269" s="10" t="s">
        <v>11</v>
      </c>
      <c r="D269" s="10">
        <v>2039</v>
      </c>
    </row>
    <row r="270" spans="2:4" x14ac:dyDescent="0.35">
      <c r="B270" s="15">
        <v>50870</v>
      </c>
      <c r="C270" s="10" t="s">
        <v>17</v>
      </c>
      <c r="D270" s="10">
        <v>2039</v>
      </c>
    </row>
    <row r="271" spans="2:4" x14ac:dyDescent="0.35">
      <c r="B271" s="15">
        <v>50891</v>
      </c>
      <c r="C271" s="10" t="s">
        <v>12</v>
      </c>
      <c r="D271" s="10">
        <v>2039</v>
      </c>
    </row>
    <row r="272" spans="2:4" x14ac:dyDescent="0.35">
      <c r="B272" s="15">
        <v>50930</v>
      </c>
      <c r="C272" s="10" t="s">
        <v>18</v>
      </c>
      <c r="D272" s="10">
        <v>2039</v>
      </c>
    </row>
    <row r="273" spans="2:4" x14ac:dyDescent="0.35">
      <c r="B273" s="15">
        <v>51020</v>
      </c>
      <c r="C273" s="10" t="s">
        <v>19</v>
      </c>
      <c r="D273" s="10">
        <v>2039</v>
      </c>
    </row>
    <row r="274" spans="2:4" x14ac:dyDescent="0.35">
      <c r="B274" s="15">
        <v>51055</v>
      </c>
      <c r="C274" s="10" t="s">
        <v>20</v>
      </c>
      <c r="D274" s="10">
        <v>2039</v>
      </c>
    </row>
    <row r="275" spans="2:4" x14ac:dyDescent="0.35">
      <c r="B275" s="15">
        <v>51076</v>
      </c>
      <c r="C275" s="10" t="s">
        <v>13</v>
      </c>
      <c r="D275" s="10">
        <v>2039</v>
      </c>
    </row>
    <row r="276" spans="2:4" x14ac:dyDescent="0.35">
      <c r="B276" s="15">
        <v>51089</v>
      </c>
      <c r="C276" s="10" t="s">
        <v>14</v>
      </c>
      <c r="D276" s="10">
        <v>2039</v>
      </c>
    </row>
    <row r="277" spans="2:4" x14ac:dyDescent="0.35">
      <c r="B277" s="15">
        <v>51129</v>
      </c>
      <c r="C277" s="10" t="s">
        <v>15</v>
      </c>
      <c r="D277" s="10">
        <v>2039</v>
      </c>
    </row>
    <row r="278" spans="2:4" x14ac:dyDescent="0.35">
      <c r="B278" s="15">
        <v>51136</v>
      </c>
      <c r="C278" s="10" t="s">
        <v>10</v>
      </c>
      <c r="D278" s="10">
        <v>2040</v>
      </c>
    </row>
    <row r="279" spans="2:4" x14ac:dyDescent="0.35">
      <c r="B279" s="15">
        <v>51179</v>
      </c>
      <c r="C279" s="10" t="s">
        <v>3</v>
      </c>
      <c r="D279" s="10">
        <v>2040</v>
      </c>
    </row>
    <row r="280" spans="2:4" x14ac:dyDescent="0.35">
      <c r="B280" s="15">
        <v>51180</v>
      </c>
      <c r="C280" s="10" t="s">
        <v>3</v>
      </c>
      <c r="D280" s="10">
        <v>2040</v>
      </c>
    </row>
    <row r="281" spans="2:4" x14ac:dyDescent="0.35">
      <c r="B281" s="15">
        <v>51225</v>
      </c>
      <c r="C281" s="10" t="s">
        <v>16</v>
      </c>
      <c r="D281" s="10">
        <v>2040</v>
      </c>
    </row>
    <row r="282" spans="2:4" x14ac:dyDescent="0.35">
      <c r="B282" s="15">
        <v>51247</v>
      </c>
      <c r="C282" s="10" t="s">
        <v>11</v>
      </c>
      <c r="D282" s="10">
        <v>2040</v>
      </c>
    </row>
    <row r="283" spans="2:4" x14ac:dyDescent="0.35">
      <c r="B283" s="15">
        <v>51227</v>
      </c>
      <c r="C283" s="10" t="s">
        <v>17</v>
      </c>
      <c r="D283" s="10">
        <v>2040</v>
      </c>
    </row>
    <row r="284" spans="2:4" x14ac:dyDescent="0.35">
      <c r="B284" s="15">
        <v>51257</v>
      </c>
      <c r="C284" s="10" t="s">
        <v>12</v>
      </c>
      <c r="D284" s="10">
        <v>2040</v>
      </c>
    </row>
    <row r="285" spans="2:4" x14ac:dyDescent="0.35">
      <c r="B285" s="15">
        <v>51287</v>
      </c>
      <c r="C285" s="10" t="s">
        <v>18</v>
      </c>
      <c r="D285" s="10">
        <v>2040</v>
      </c>
    </row>
    <row r="286" spans="2:4" x14ac:dyDescent="0.35">
      <c r="B286" s="15">
        <v>51386</v>
      </c>
      <c r="C286" s="10" t="s">
        <v>19</v>
      </c>
      <c r="D286" s="10">
        <v>2040</v>
      </c>
    </row>
    <row r="287" spans="2:4" x14ac:dyDescent="0.35">
      <c r="B287" s="15">
        <v>51421</v>
      </c>
      <c r="C287" s="10" t="s">
        <v>20</v>
      </c>
      <c r="D287" s="10">
        <v>2040</v>
      </c>
    </row>
    <row r="288" spans="2:4" x14ac:dyDescent="0.35">
      <c r="B288" s="15">
        <v>51442</v>
      </c>
      <c r="C288" s="10" t="s">
        <v>13</v>
      </c>
      <c r="D288" s="10">
        <v>2040</v>
      </c>
    </row>
    <row r="289" spans="2:4" x14ac:dyDescent="0.35">
      <c r="B289" s="15">
        <v>51455</v>
      </c>
      <c r="C289" s="10" t="s">
        <v>14</v>
      </c>
      <c r="D289" s="10">
        <v>2040</v>
      </c>
    </row>
    <row r="290" spans="2:4" x14ac:dyDescent="0.35">
      <c r="B290" s="15">
        <v>51495</v>
      </c>
      <c r="C290" s="10" t="s">
        <v>15</v>
      </c>
      <c r="D290" s="10">
        <v>2040</v>
      </c>
    </row>
    <row r="291" spans="2:4" x14ac:dyDescent="0.35">
      <c r="B291" s="15">
        <v>51502</v>
      </c>
      <c r="C291" s="10" t="s">
        <v>10</v>
      </c>
      <c r="D291" s="10">
        <v>2041</v>
      </c>
    </row>
    <row r="292" spans="2:4" x14ac:dyDescent="0.35">
      <c r="B292" s="15">
        <v>51564</v>
      </c>
      <c r="C292" s="10" t="s">
        <v>3</v>
      </c>
      <c r="D292" s="10">
        <v>2041</v>
      </c>
    </row>
    <row r="293" spans="2:4" x14ac:dyDescent="0.35">
      <c r="B293" s="15">
        <v>51565</v>
      </c>
      <c r="C293" s="10" t="s">
        <v>3</v>
      </c>
      <c r="D293" s="10">
        <v>2041</v>
      </c>
    </row>
    <row r="294" spans="2:4" x14ac:dyDescent="0.35">
      <c r="B294" s="15">
        <v>51610</v>
      </c>
      <c r="C294" s="10" t="s">
        <v>16</v>
      </c>
      <c r="D294" s="10">
        <v>2041</v>
      </c>
    </row>
    <row r="295" spans="2:4" x14ac:dyDescent="0.35">
      <c r="B295" s="15">
        <v>51612</v>
      </c>
      <c r="C295" s="10" t="s">
        <v>11</v>
      </c>
      <c r="D295" s="10">
        <v>2041</v>
      </c>
    </row>
    <row r="296" spans="2:4" x14ac:dyDescent="0.35">
      <c r="B296" s="15">
        <v>51612</v>
      </c>
      <c r="C296" s="10" t="s">
        <v>17</v>
      </c>
      <c r="D296" s="10">
        <v>2041</v>
      </c>
    </row>
    <row r="297" spans="2:4" x14ac:dyDescent="0.35">
      <c r="B297" s="15">
        <v>51622</v>
      </c>
      <c r="C297" s="10" t="s">
        <v>12</v>
      </c>
      <c r="D297" s="10">
        <v>2041</v>
      </c>
    </row>
    <row r="298" spans="2:4" x14ac:dyDescent="0.35">
      <c r="B298" s="15">
        <v>51672</v>
      </c>
      <c r="C298" s="10" t="s">
        <v>18</v>
      </c>
      <c r="D298" s="10">
        <v>2041</v>
      </c>
    </row>
    <row r="299" spans="2:4" x14ac:dyDescent="0.35">
      <c r="B299" s="15">
        <v>51751</v>
      </c>
      <c r="C299" s="10" t="s">
        <v>19</v>
      </c>
      <c r="D299" s="10">
        <v>2041</v>
      </c>
    </row>
    <row r="300" spans="2:4" x14ac:dyDescent="0.35">
      <c r="B300" s="15">
        <v>51786</v>
      </c>
      <c r="C300" s="10" t="s">
        <v>20</v>
      </c>
      <c r="D300" s="10">
        <v>2041</v>
      </c>
    </row>
    <row r="301" spans="2:4" x14ac:dyDescent="0.35">
      <c r="B301" s="15">
        <v>51807</v>
      </c>
      <c r="C301" s="10" t="s">
        <v>13</v>
      </c>
      <c r="D301" s="10">
        <v>2041</v>
      </c>
    </row>
    <row r="302" spans="2:4" x14ac:dyDescent="0.35">
      <c r="B302" s="15">
        <v>51820</v>
      </c>
      <c r="C302" s="10" t="s">
        <v>14</v>
      </c>
      <c r="D302" s="10">
        <v>2041</v>
      </c>
    </row>
    <row r="303" spans="2:4" x14ac:dyDescent="0.35">
      <c r="B303" s="15">
        <v>51860</v>
      </c>
      <c r="C303" s="10" t="s">
        <v>15</v>
      </c>
      <c r="D303" s="10">
        <v>2041</v>
      </c>
    </row>
    <row r="304" spans="2:4" x14ac:dyDescent="0.35">
      <c r="B304" s="15">
        <v>51867</v>
      </c>
      <c r="C304" s="10" t="s">
        <v>10</v>
      </c>
      <c r="D304" s="10">
        <v>2042</v>
      </c>
    </row>
    <row r="305" spans="2:4" x14ac:dyDescent="0.35">
      <c r="B305" s="15">
        <v>51914</v>
      </c>
      <c r="C305" s="10" t="s">
        <v>3</v>
      </c>
      <c r="D305" s="10">
        <v>2042</v>
      </c>
    </row>
    <row r="306" spans="2:4" x14ac:dyDescent="0.35">
      <c r="B306" s="15">
        <v>51915</v>
      </c>
      <c r="C306" s="10" t="s">
        <v>3</v>
      </c>
      <c r="D306" s="10">
        <v>2042</v>
      </c>
    </row>
    <row r="307" spans="2:4" x14ac:dyDescent="0.35">
      <c r="B307" s="15">
        <v>51960</v>
      </c>
      <c r="C307" s="10" t="s">
        <v>16</v>
      </c>
      <c r="D307" s="10">
        <v>2042</v>
      </c>
    </row>
    <row r="308" spans="2:4" x14ac:dyDescent="0.35">
      <c r="B308" s="15">
        <v>51977</v>
      </c>
      <c r="C308" s="10" t="s">
        <v>11</v>
      </c>
      <c r="D308" s="10">
        <v>2042</v>
      </c>
    </row>
    <row r="309" spans="2:4" x14ac:dyDescent="0.35">
      <c r="B309" s="15">
        <v>51962</v>
      </c>
      <c r="C309" s="10" t="s">
        <v>17</v>
      </c>
      <c r="D309" s="10">
        <v>2042</v>
      </c>
    </row>
    <row r="310" spans="2:4" x14ac:dyDescent="0.35">
      <c r="B310" s="15">
        <v>51987</v>
      </c>
      <c r="C310" s="10" t="s">
        <v>12</v>
      </c>
      <c r="D310" s="10">
        <v>2042</v>
      </c>
    </row>
    <row r="311" spans="2:4" x14ac:dyDescent="0.35">
      <c r="B311" s="15">
        <v>52022</v>
      </c>
      <c r="C311" s="10" t="s">
        <v>18</v>
      </c>
      <c r="D311" s="10">
        <v>2042</v>
      </c>
    </row>
    <row r="312" spans="2:4" x14ac:dyDescent="0.35">
      <c r="B312" s="15">
        <v>52116</v>
      </c>
      <c r="C312" s="10" t="s">
        <v>19</v>
      </c>
      <c r="D312" s="10">
        <v>2042</v>
      </c>
    </row>
    <row r="313" spans="2:4" x14ac:dyDescent="0.35">
      <c r="B313" s="15">
        <v>52151</v>
      </c>
      <c r="C313" s="10" t="s">
        <v>20</v>
      </c>
      <c r="D313" s="10">
        <v>2042</v>
      </c>
    </row>
    <row r="314" spans="2:4" x14ac:dyDescent="0.35">
      <c r="B314" s="15">
        <v>52172</v>
      </c>
      <c r="C314" s="10" t="s">
        <v>13</v>
      </c>
      <c r="D314" s="10">
        <v>2042</v>
      </c>
    </row>
    <row r="315" spans="2:4" x14ac:dyDescent="0.35">
      <c r="B315" s="15">
        <v>52185</v>
      </c>
      <c r="C315" s="10" t="s">
        <v>14</v>
      </c>
      <c r="D315" s="10">
        <v>2042</v>
      </c>
    </row>
    <row r="316" spans="2:4" x14ac:dyDescent="0.35">
      <c r="B316" s="15">
        <v>52225</v>
      </c>
      <c r="C316" s="10" t="s">
        <v>15</v>
      </c>
      <c r="D316" s="10">
        <v>2042</v>
      </c>
    </row>
    <row r="317" spans="2:4" x14ac:dyDescent="0.35">
      <c r="B317" s="15">
        <v>52232</v>
      </c>
      <c r="C317" s="10" t="s">
        <v>10</v>
      </c>
      <c r="D317" s="10">
        <v>2043</v>
      </c>
    </row>
    <row r="318" spans="2:4" x14ac:dyDescent="0.35">
      <c r="B318" s="15">
        <v>52271</v>
      </c>
      <c r="C318" s="10" t="s">
        <v>3</v>
      </c>
      <c r="D318" s="10">
        <v>2043</v>
      </c>
    </row>
    <row r="319" spans="2:4" x14ac:dyDescent="0.35">
      <c r="B319" s="15">
        <v>52272</v>
      </c>
      <c r="C319" s="10" t="s">
        <v>3</v>
      </c>
      <c r="D319" s="10">
        <v>2043</v>
      </c>
    </row>
    <row r="320" spans="2:4" x14ac:dyDescent="0.35">
      <c r="B320" s="15">
        <v>52317</v>
      </c>
      <c r="C320" s="10" t="s">
        <v>16</v>
      </c>
      <c r="D320" s="10">
        <v>2043</v>
      </c>
    </row>
    <row r="321" spans="2:4" x14ac:dyDescent="0.35">
      <c r="B321" s="15">
        <v>52342</v>
      </c>
      <c r="C321" s="10" t="s">
        <v>11</v>
      </c>
      <c r="D321" s="10">
        <v>2043</v>
      </c>
    </row>
    <row r="322" spans="2:4" x14ac:dyDescent="0.35">
      <c r="B322" s="15">
        <v>52319</v>
      </c>
      <c r="C322" s="10" t="s">
        <v>17</v>
      </c>
      <c r="D322" s="10">
        <v>2043</v>
      </c>
    </row>
    <row r="323" spans="2:4" x14ac:dyDescent="0.35">
      <c r="B323" s="15">
        <v>52352</v>
      </c>
      <c r="C323" s="10" t="s">
        <v>12</v>
      </c>
      <c r="D323" s="10">
        <v>2043</v>
      </c>
    </row>
    <row r="324" spans="2:4" x14ac:dyDescent="0.35">
      <c r="B324" s="15">
        <v>52379</v>
      </c>
      <c r="C324" s="10" t="s">
        <v>18</v>
      </c>
      <c r="D324" s="10">
        <v>2043</v>
      </c>
    </row>
    <row r="325" spans="2:4" x14ac:dyDescent="0.35">
      <c r="B325" s="15">
        <v>52481</v>
      </c>
      <c r="C325" s="10" t="s">
        <v>19</v>
      </c>
      <c r="D325" s="10">
        <v>2043</v>
      </c>
    </row>
    <row r="326" spans="2:4" x14ac:dyDescent="0.35">
      <c r="B326" s="15">
        <v>52516</v>
      </c>
      <c r="C326" s="10" t="s">
        <v>20</v>
      </c>
      <c r="D326" s="10">
        <v>2043</v>
      </c>
    </row>
    <row r="327" spans="2:4" x14ac:dyDescent="0.35">
      <c r="B327" s="15">
        <v>52537</v>
      </c>
      <c r="C327" s="10" t="s">
        <v>13</v>
      </c>
      <c r="D327" s="10">
        <v>2043</v>
      </c>
    </row>
    <row r="328" spans="2:4" x14ac:dyDescent="0.35">
      <c r="B328" s="15">
        <v>52550</v>
      </c>
      <c r="C328" s="10" t="s">
        <v>14</v>
      </c>
      <c r="D328" s="10">
        <v>2043</v>
      </c>
    </row>
    <row r="329" spans="2:4" x14ac:dyDescent="0.35">
      <c r="B329" s="15">
        <v>52590</v>
      </c>
      <c r="C329" s="10" t="s">
        <v>15</v>
      </c>
      <c r="D329" s="10">
        <v>2043</v>
      </c>
    </row>
    <row r="330" spans="2:4" x14ac:dyDescent="0.35">
      <c r="B330" s="15">
        <v>52597</v>
      </c>
      <c r="C330" s="10" t="s">
        <v>10</v>
      </c>
      <c r="D330" s="10">
        <v>2044</v>
      </c>
    </row>
    <row r="331" spans="2:4" x14ac:dyDescent="0.35">
      <c r="B331" s="15">
        <v>52656</v>
      </c>
      <c r="C331" s="10" t="s">
        <v>3</v>
      </c>
      <c r="D331" s="10">
        <v>2044</v>
      </c>
    </row>
    <row r="332" spans="2:4" x14ac:dyDescent="0.35">
      <c r="B332" s="15">
        <v>52657</v>
      </c>
      <c r="C332" s="10" t="s">
        <v>3</v>
      </c>
      <c r="D332" s="10">
        <v>2044</v>
      </c>
    </row>
    <row r="333" spans="2:4" x14ac:dyDescent="0.35">
      <c r="B333" s="15">
        <v>52702</v>
      </c>
      <c r="C333" s="10" t="s">
        <v>16</v>
      </c>
      <c r="D333" s="10">
        <v>2044</v>
      </c>
    </row>
    <row r="334" spans="2:4" x14ac:dyDescent="0.35">
      <c r="B334" s="15">
        <v>52708</v>
      </c>
      <c r="C334" s="10" t="s">
        <v>11</v>
      </c>
      <c r="D334" s="10">
        <v>2044</v>
      </c>
    </row>
    <row r="335" spans="2:4" x14ac:dyDescent="0.35">
      <c r="B335" s="15">
        <v>52704</v>
      </c>
      <c r="C335" s="10" t="s">
        <v>17</v>
      </c>
      <c r="D335" s="10">
        <v>2044</v>
      </c>
    </row>
    <row r="336" spans="2:4" x14ac:dyDescent="0.35">
      <c r="B336" s="15">
        <v>52718</v>
      </c>
      <c r="C336" s="10" t="s">
        <v>12</v>
      </c>
      <c r="D336" s="10">
        <v>2044</v>
      </c>
    </row>
    <row r="337" spans="2:4" x14ac:dyDescent="0.35">
      <c r="B337" s="15">
        <v>52764</v>
      </c>
      <c r="C337" s="10" t="s">
        <v>18</v>
      </c>
      <c r="D337" s="10">
        <v>2044</v>
      </c>
    </row>
    <row r="338" spans="2:4" x14ac:dyDescent="0.35">
      <c r="B338" s="15">
        <v>52847</v>
      </c>
      <c r="C338" s="10" t="s">
        <v>19</v>
      </c>
      <c r="D338" s="10">
        <v>2044</v>
      </c>
    </row>
    <row r="339" spans="2:4" x14ac:dyDescent="0.35">
      <c r="B339" s="15">
        <v>52882</v>
      </c>
      <c r="C339" s="10" t="s">
        <v>20</v>
      </c>
      <c r="D339" s="10">
        <v>2044</v>
      </c>
    </row>
    <row r="340" spans="2:4" x14ac:dyDescent="0.35">
      <c r="B340" s="15">
        <v>52903</v>
      </c>
      <c r="C340" s="10" t="s">
        <v>13</v>
      </c>
      <c r="D340" s="10">
        <v>2044</v>
      </c>
    </row>
    <row r="341" spans="2:4" x14ac:dyDescent="0.35">
      <c r="B341" s="15">
        <v>52916</v>
      </c>
      <c r="C341" s="10" t="s">
        <v>14</v>
      </c>
      <c r="D341" s="10">
        <v>2044</v>
      </c>
    </row>
    <row r="342" spans="2:4" x14ac:dyDescent="0.35">
      <c r="B342" s="15">
        <v>52956</v>
      </c>
      <c r="C342" s="10" t="s">
        <v>15</v>
      </c>
      <c r="D342" s="10">
        <v>2044</v>
      </c>
    </row>
    <row r="343" spans="2:4" x14ac:dyDescent="0.35">
      <c r="B343" s="15">
        <v>52963</v>
      </c>
      <c r="C343" s="10" t="s">
        <v>10</v>
      </c>
      <c r="D343" s="10">
        <v>2045</v>
      </c>
    </row>
    <row r="344" spans="2:4" x14ac:dyDescent="0.35">
      <c r="B344" s="15">
        <v>53013</v>
      </c>
      <c r="C344" s="10" t="s">
        <v>3</v>
      </c>
      <c r="D344" s="10">
        <v>2045</v>
      </c>
    </row>
    <row r="345" spans="2:4" x14ac:dyDescent="0.35">
      <c r="B345" s="15">
        <v>53014</v>
      </c>
      <c r="C345" s="10" t="s">
        <v>3</v>
      </c>
      <c r="D345" s="10">
        <v>2045</v>
      </c>
    </row>
    <row r="346" spans="2:4" x14ac:dyDescent="0.35">
      <c r="B346" s="15">
        <v>53059</v>
      </c>
      <c r="C346" s="10" t="s">
        <v>16</v>
      </c>
      <c r="D346" s="10">
        <v>2045</v>
      </c>
    </row>
    <row r="347" spans="2:4" x14ac:dyDescent="0.35">
      <c r="B347" s="15">
        <v>53073</v>
      </c>
      <c r="C347" s="10" t="s">
        <v>11</v>
      </c>
      <c r="D347" s="10">
        <v>2045</v>
      </c>
    </row>
    <row r="348" spans="2:4" x14ac:dyDescent="0.35">
      <c r="B348" s="15">
        <v>53061</v>
      </c>
      <c r="C348" s="10" t="s">
        <v>17</v>
      </c>
      <c r="D348" s="10">
        <v>2045</v>
      </c>
    </row>
    <row r="349" spans="2:4" x14ac:dyDescent="0.35">
      <c r="B349" s="15">
        <v>53083</v>
      </c>
      <c r="C349" s="10" t="s">
        <v>12</v>
      </c>
      <c r="D349" s="10">
        <v>2045</v>
      </c>
    </row>
    <row r="350" spans="2:4" x14ac:dyDescent="0.35">
      <c r="B350" s="15">
        <v>53121</v>
      </c>
      <c r="C350" s="10" t="s">
        <v>18</v>
      </c>
      <c r="D350" s="10">
        <v>2045</v>
      </c>
    </row>
    <row r="351" spans="2:4" x14ac:dyDescent="0.35">
      <c r="B351" s="15">
        <v>53212</v>
      </c>
      <c r="C351" s="10" t="s">
        <v>19</v>
      </c>
      <c r="D351" s="10">
        <v>2045</v>
      </c>
    </row>
    <row r="352" spans="2:4" x14ac:dyDescent="0.35">
      <c r="B352" s="15">
        <v>53247</v>
      </c>
      <c r="C352" s="10" t="s">
        <v>20</v>
      </c>
      <c r="D352" s="10">
        <v>2045</v>
      </c>
    </row>
    <row r="353" spans="2:4" x14ac:dyDescent="0.35">
      <c r="B353" s="15">
        <v>53268</v>
      </c>
      <c r="C353" s="10" t="s">
        <v>13</v>
      </c>
      <c r="D353" s="10">
        <v>2045</v>
      </c>
    </row>
    <row r="354" spans="2:4" x14ac:dyDescent="0.35">
      <c r="B354" s="15">
        <v>53281</v>
      </c>
      <c r="C354" s="10" t="s">
        <v>14</v>
      </c>
      <c r="D354" s="10">
        <v>2045</v>
      </c>
    </row>
    <row r="355" spans="2:4" x14ac:dyDescent="0.35">
      <c r="B355" s="15">
        <v>53321</v>
      </c>
      <c r="C355" s="10" t="s">
        <v>15</v>
      </c>
      <c r="D355" s="10">
        <v>2045</v>
      </c>
    </row>
    <row r="356" spans="2:4" x14ac:dyDescent="0.35">
      <c r="B356" s="15">
        <v>53328</v>
      </c>
      <c r="C356" s="10" t="s">
        <v>10</v>
      </c>
      <c r="D356" s="10">
        <v>2046</v>
      </c>
    </row>
    <row r="357" spans="2:4" x14ac:dyDescent="0.35">
      <c r="B357" s="15">
        <v>53363</v>
      </c>
      <c r="C357" s="10" t="s">
        <v>3</v>
      </c>
      <c r="D357" s="10">
        <v>2046</v>
      </c>
    </row>
    <row r="358" spans="2:4" x14ac:dyDescent="0.35">
      <c r="B358" s="15">
        <v>53364</v>
      </c>
      <c r="C358" s="10" t="s">
        <v>3</v>
      </c>
      <c r="D358" s="10">
        <v>2046</v>
      </c>
    </row>
    <row r="359" spans="2:4" x14ac:dyDescent="0.35">
      <c r="B359" s="15">
        <v>53409</v>
      </c>
      <c r="C359" s="10" t="s">
        <v>16</v>
      </c>
      <c r="D359" s="10">
        <v>2046</v>
      </c>
    </row>
    <row r="360" spans="2:4" x14ac:dyDescent="0.35">
      <c r="B360" s="15">
        <v>53438</v>
      </c>
      <c r="C360" s="10" t="s">
        <v>11</v>
      </c>
      <c r="D360" s="10">
        <v>2046</v>
      </c>
    </row>
    <row r="361" spans="2:4" x14ac:dyDescent="0.35">
      <c r="B361" s="15">
        <v>53411</v>
      </c>
      <c r="C361" s="10" t="s">
        <v>17</v>
      </c>
      <c r="D361" s="10">
        <v>2046</v>
      </c>
    </row>
    <row r="362" spans="2:4" x14ac:dyDescent="0.35">
      <c r="B362" s="15">
        <v>53448</v>
      </c>
      <c r="C362" s="10" t="s">
        <v>12</v>
      </c>
      <c r="D362" s="10">
        <v>2046</v>
      </c>
    </row>
    <row r="363" spans="2:4" x14ac:dyDescent="0.35">
      <c r="B363" s="15">
        <v>53471</v>
      </c>
      <c r="C363" s="10" t="s">
        <v>18</v>
      </c>
      <c r="D363" s="10">
        <v>2046</v>
      </c>
    </row>
    <row r="364" spans="2:4" x14ac:dyDescent="0.35">
      <c r="B364" s="15">
        <v>53577</v>
      </c>
      <c r="C364" s="10" t="s">
        <v>19</v>
      </c>
      <c r="D364" s="10">
        <v>2046</v>
      </c>
    </row>
    <row r="365" spans="2:4" x14ac:dyDescent="0.35">
      <c r="B365" s="15">
        <v>53612</v>
      </c>
      <c r="C365" s="10" t="s">
        <v>20</v>
      </c>
      <c r="D365" s="10">
        <v>2046</v>
      </c>
    </row>
    <row r="366" spans="2:4" x14ac:dyDescent="0.35">
      <c r="B366" s="15">
        <v>53633</v>
      </c>
      <c r="C366" s="10" t="s">
        <v>13</v>
      </c>
      <c r="D366" s="10">
        <v>2046</v>
      </c>
    </row>
    <row r="367" spans="2:4" x14ac:dyDescent="0.35">
      <c r="B367" s="15">
        <v>53646</v>
      </c>
      <c r="C367" s="10" t="s">
        <v>14</v>
      </c>
      <c r="D367" s="10">
        <v>2046</v>
      </c>
    </row>
    <row r="368" spans="2:4" x14ac:dyDescent="0.35">
      <c r="B368" s="15">
        <v>53686</v>
      </c>
      <c r="C368" s="10" t="s">
        <v>15</v>
      </c>
      <c r="D368" s="10">
        <v>2046</v>
      </c>
    </row>
    <row r="369" spans="2:4" x14ac:dyDescent="0.35">
      <c r="B369" s="15">
        <v>53693</v>
      </c>
      <c r="C369" s="10" t="s">
        <v>10</v>
      </c>
      <c r="D369" s="10">
        <v>2047</v>
      </c>
    </row>
    <row r="370" spans="2:4" x14ac:dyDescent="0.35">
      <c r="B370" s="15">
        <v>53748</v>
      </c>
      <c r="C370" s="10" t="s">
        <v>3</v>
      </c>
      <c r="D370" s="10">
        <v>2047</v>
      </c>
    </row>
    <row r="371" spans="2:4" x14ac:dyDescent="0.35">
      <c r="B371" s="15">
        <v>53749</v>
      </c>
      <c r="C371" s="10" t="s">
        <v>3</v>
      </c>
      <c r="D371" s="10">
        <v>2047</v>
      </c>
    </row>
    <row r="372" spans="2:4" x14ac:dyDescent="0.35">
      <c r="B372" s="15">
        <v>53794</v>
      </c>
      <c r="C372" s="10" t="s">
        <v>16</v>
      </c>
      <c r="D372" s="10">
        <v>2047</v>
      </c>
    </row>
    <row r="373" spans="2:4" x14ac:dyDescent="0.35">
      <c r="B373" s="15">
        <v>53803</v>
      </c>
      <c r="C373" s="10" t="s">
        <v>11</v>
      </c>
      <c r="D373" s="10">
        <v>2047</v>
      </c>
    </row>
    <row r="374" spans="2:4" x14ac:dyDescent="0.35">
      <c r="B374" s="15">
        <v>53796</v>
      </c>
      <c r="C374" s="10" t="s">
        <v>17</v>
      </c>
      <c r="D374" s="10">
        <v>2047</v>
      </c>
    </row>
    <row r="375" spans="2:4" x14ac:dyDescent="0.35">
      <c r="B375" s="15">
        <v>53813</v>
      </c>
      <c r="C375" s="10" t="s">
        <v>12</v>
      </c>
      <c r="D375" s="10">
        <v>2047</v>
      </c>
    </row>
    <row r="376" spans="2:4" x14ac:dyDescent="0.35">
      <c r="B376" s="15">
        <v>53856</v>
      </c>
      <c r="C376" s="10" t="s">
        <v>18</v>
      </c>
      <c r="D376" s="10">
        <v>2047</v>
      </c>
    </row>
    <row r="377" spans="2:4" x14ac:dyDescent="0.35">
      <c r="B377" s="15">
        <v>53942</v>
      </c>
      <c r="C377" s="10" t="s">
        <v>19</v>
      </c>
      <c r="D377" s="10">
        <v>2047</v>
      </c>
    </row>
    <row r="378" spans="2:4" x14ac:dyDescent="0.35">
      <c r="B378" s="15">
        <v>53977</v>
      </c>
      <c r="C378" s="10" t="s">
        <v>20</v>
      </c>
      <c r="D378" s="10">
        <v>2047</v>
      </c>
    </row>
    <row r="379" spans="2:4" x14ac:dyDescent="0.35">
      <c r="B379" s="15">
        <v>53998</v>
      </c>
      <c r="C379" s="10" t="s">
        <v>13</v>
      </c>
      <c r="D379" s="10">
        <v>2047</v>
      </c>
    </row>
    <row r="380" spans="2:4" x14ac:dyDescent="0.35">
      <c r="B380" s="15">
        <v>54011</v>
      </c>
      <c r="C380" s="10" t="s">
        <v>14</v>
      </c>
      <c r="D380" s="10">
        <v>2047</v>
      </c>
    </row>
    <row r="381" spans="2:4" x14ac:dyDescent="0.35">
      <c r="B381" s="15">
        <v>54051</v>
      </c>
      <c r="C381" s="10" t="s">
        <v>15</v>
      </c>
      <c r="D381" s="10">
        <v>2047</v>
      </c>
    </row>
    <row r="382" spans="2:4" x14ac:dyDescent="0.35">
      <c r="B382" s="15">
        <v>54058</v>
      </c>
      <c r="C382" s="10" t="s">
        <v>10</v>
      </c>
      <c r="D382" s="10">
        <v>2048</v>
      </c>
    </row>
    <row r="383" spans="2:4" x14ac:dyDescent="0.35">
      <c r="B383" s="15">
        <v>54105</v>
      </c>
      <c r="C383" s="10" t="s">
        <v>3</v>
      </c>
      <c r="D383" s="10">
        <v>2048</v>
      </c>
    </row>
    <row r="384" spans="2:4" x14ac:dyDescent="0.35">
      <c r="B384" s="15">
        <v>54106</v>
      </c>
      <c r="C384" s="10" t="s">
        <v>3</v>
      </c>
      <c r="D384" s="10">
        <v>2048</v>
      </c>
    </row>
    <row r="385" spans="2:4" x14ac:dyDescent="0.35">
      <c r="B385" s="15">
        <v>54151</v>
      </c>
      <c r="C385" s="10" t="s">
        <v>16</v>
      </c>
      <c r="D385" s="10">
        <v>2048</v>
      </c>
    </row>
    <row r="386" spans="2:4" x14ac:dyDescent="0.35">
      <c r="B386" s="15">
        <v>54169</v>
      </c>
      <c r="C386" s="10" t="s">
        <v>11</v>
      </c>
      <c r="D386" s="10">
        <v>2048</v>
      </c>
    </row>
    <row r="387" spans="2:4" x14ac:dyDescent="0.35">
      <c r="B387" s="15">
        <v>54153</v>
      </c>
      <c r="C387" s="10" t="s">
        <v>17</v>
      </c>
      <c r="D387" s="10">
        <v>2048</v>
      </c>
    </row>
    <row r="388" spans="2:4" x14ac:dyDescent="0.35">
      <c r="B388" s="15">
        <v>54179</v>
      </c>
      <c r="C388" s="10" t="s">
        <v>12</v>
      </c>
      <c r="D388" s="10">
        <v>2048</v>
      </c>
    </row>
    <row r="389" spans="2:4" x14ac:dyDescent="0.35">
      <c r="B389" s="15">
        <v>54213</v>
      </c>
      <c r="C389" s="10" t="s">
        <v>18</v>
      </c>
      <c r="D389" s="10">
        <v>2048</v>
      </c>
    </row>
    <row r="390" spans="2:4" x14ac:dyDescent="0.35">
      <c r="B390" s="15">
        <v>54308</v>
      </c>
      <c r="C390" s="10" t="s">
        <v>19</v>
      </c>
      <c r="D390" s="10">
        <v>2048</v>
      </c>
    </row>
    <row r="391" spans="2:4" x14ac:dyDescent="0.35">
      <c r="B391" s="15">
        <v>54343</v>
      </c>
      <c r="C391" s="10" t="s">
        <v>20</v>
      </c>
      <c r="D391" s="10">
        <v>2048</v>
      </c>
    </row>
    <row r="392" spans="2:4" x14ac:dyDescent="0.35">
      <c r="B392" s="15">
        <v>54364</v>
      </c>
      <c r="C392" s="10" t="s">
        <v>13</v>
      </c>
      <c r="D392" s="10">
        <v>2048</v>
      </c>
    </row>
    <row r="393" spans="2:4" x14ac:dyDescent="0.35">
      <c r="B393" s="15">
        <v>54377</v>
      </c>
      <c r="C393" s="10" t="s">
        <v>14</v>
      </c>
      <c r="D393" s="10">
        <v>2048</v>
      </c>
    </row>
    <row r="394" spans="2:4" x14ac:dyDescent="0.35">
      <c r="B394" s="15">
        <v>54417</v>
      </c>
      <c r="C394" s="10" t="s">
        <v>15</v>
      </c>
      <c r="D394" s="10">
        <v>2048</v>
      </c>
    </row>
    <row r="395" spans="2:4" x14ac:dyDescent="0.35">
      <c r="B395" s="15">
        <v>54424</v>
      </c>
      <c r="C395" s="10" t="s">
        <v>10</v>
      </c>
      <c r="D395" s="10">
        <v>2049</v>
      </c>
    </row>
    <row r="396" spans="2:4" x14ac:dyDescent="0.35">
      <c r="B396" s="15">
        <v>54483</v>
      </c>
      <c r="C396" s="10" t="s">
        <v>3</v>
      </c>
      <c r="D396" s="10">
        <v>2049</v>
      </c>
    </row>
    <row r="397" spans="2:4" x14ac:dyDescent="0.35">
      <c r="B397" s="15">
        <v>54484</v>
      </c>
      <c r="C397" s="10" t="s">
        <v>3</v>
      </c>
      <c r="D397" s="10">
        <v>2049</v>
      </c>
    </row>
    <row r="398" spans="2:4" x14ac:dyDescent="0.35">
      <c r="B398" s="15">
        <v>54529</v>
      </c>
      <c r="C398" s="10" t="s">
        <v>16</v>
      </c>
      <c r="D398" s="10">
        <v>2049</v>
      </c>
    </row>
    <row r="399" spans="2:4" x14ac:dyDescent="0.35">
      <c r="B399" s="15">
        <v>54534</v>
      </c>
      <c r="C399" s="10" t="s">
        <v>11</v>
      </c>
      <c r="D399" s="10">
        <v>2049</v>
      </c>
    </row>
    <row r="400" spans="2:4" x14ac:dyDescent="0.35">
      <c r="B400" s="15">
        <v>54531</v>
      </c>
      <c r="C400" s="10" t="s">
        <v>17</v>
      </c>
      <c r="D400" s="10">
        <v>2049</v>
      </c>
    </row>
    <row r="401" spans="2:4" x14ac:dyDescent="0.35">
      <c r="B401" s="15">
        <v>54544</v>
      </c>
      <c r="C401" s="10" t="s">
        <v>12</v>
      </c>
      <c r="D401" s="10">
        <v>2049</v>
      </c>
    </row>
    <row r="402" spans="2:4" x14ac:dyDescent="0.35">
      <c r="B402" s="15">
        <v>54591</v>
      </c>
      <c r="C402" s="10" t="s">
        <v>18</v>
      </c>
      <c r="D402" s="10">
        <v>2049</v>
      </c>
    </row>
    <row r="403" spans="2:4" x14ac:dyDescent="0.35">
      <c r="B403" s="15">
        <v>54673</v>
      </c>
      <c r="C403" s="10" t="s">
        <v>19</v>
      </c>
      <c r="D403" s="10">
        <v>2049</v>
      </c>
    </row>
    <row r="404" spans="2:4" x14ac:dyDescent="0.35">
      <c r="B404" s="15">
        <v>54708</v>
      </c>
      <c r="C404" s="10" t="s">
        <v>20</v>
      </c>
      <c r="D404" s="10">
        <v>2049</v>
      </c>
    </row>
    <row r="405" spans="2:4" x14ac:dyDescent="0.35">
      <c r="B405" s="15">
        <v>54729</v>
      </c>
      <c r="C405" s="10" t="s">
        <v>13</v>
      </c>
      <c r="D405" s="10">
        <v>2049</v>
      </c>
    </row>
    <row r="406" spans="2:4" x14ac:dyDescent="0.35">
      <c r="B406" s="15">
        <v>54742</v>
      </c>
      <c r="C406" s="10" t="s">
        <v>14</v>
      </c>
      <c r="D406" s="10">
        <v>2049</v>
      </c>
    </row>
    <row r="407" spans="2:4" x14ac:dyDescent="0.35">
      <c r="B407" s="15">
        <v>54782</v>
      </c>
      <c r="C407" s="10" t="s">
        <v>15</v>
      </c>
      <c r="D407" s="10">
        <v>2049</v>
      </c>
    </row>
    <row r="408" spans="2:4" x14ac:dyDescent="0.35">
      <c r="B408" s="15">
        <v>54789</v>
      </c>
      <c r="C408" s="10" t="s">
        <v>10</v>
      </c>
      <c r="D408" s="10">
        <v>2050</v>
      </c>
    </row>
    <row r="409" spans="2:4" x14ac:dyDescent="0.35">
      <c r="B409" s="15">
        <v>54840</v>
      </c>
      <c r="C409" s="10" t="s">
        <v>3</v>
      </c>
      <c r="D409" s="10">
        <v>2050</v>
      </c>
    </row>
    <row r="410" spans="2:4" x14ac:dyDescent="0.35">
      <c r="B410" s="15">
        <v>54841</v>
      </c>
      <c r="C410" s="10" t="s">
        <v>3</v>
      </c>
      <c r="D410" s="10">
        <v>2050</v>
      </c>
    </row>
    <row r="411" spans="2:4" x14ac:dyDescent="0.35">
      <c r="B411" s="15">
        <v>54886</v>
      </c>
      <c r="C411" s="10" t="s">
        <v>16</v>
      </c>
      <c r="D411" s="10">
        <v>2050</v>
      </c>
    </row>
    <row r="412" spans="2:4" x14ac:dyDescent="0.35">
      <c r="B412" s="15">
        <v>54899</v>
      </c>
      <c r="C412" s="10" t="s">
        <v>11</v>
      </c>
      <c r="D412" s="10">
        <v>2050</v>
      </c>
    </row>
    <row r="413" spans="2:4" x14ac:dyDescent="0.35">
      <c r="B413" s="15">
        <v>54888</v>
      </c>
      <c r="C413" s="10" t="s">
        <v>17</v>
      </c>
      <c r="D413" s="10">
        <v>2050</v>
      </c>
    </row>
    <row r="414" spans="2:4" x14ac:dyDescent="0.35">
      <c r="B414" s="15">
        <v>54909</v>
      </c>
      <c r="C414" s="10" t="s">
        <v>12</v>
      </c>
      <c r="D414" s="10">
        <v>2050</v>
      </c>
    </row>
    <row r="415" spans="2:4" x14ac:dyDescent="0.35">
      <c r="B415" s="15">
        <v>54948</v>
      </c>
      <c r="C415" s="10" t="s">
        <v>18</v>
      </c>
      <c r="D415" s="10">
        <v>2050</v>
      </c>
    </row>
    <row r="416" spans="2:4" x14ac:dyDescent="0.35">
      <c r="B416" s="15">
        <v>55038</v>
      </c>
      <c r="C416" s="10" t="s">
        <v>19</v>
      </c>
      <c r="D416" s="10">
        <v>2050</v>
      </c>
    </row>
    <row r="417" spans="2:4" x14ac:dyDescent="0.35">
      <c r="B417" s="15">
        <v>55073</v>
      </c>
      <c r="C417" s="10" t="s">
        <v>20</v>
      </c>
      <c r="D417" s="10">
        <v>2050</v>
      </c>
    </row>
    <row r="418" spans="2:4" x14ac:dyDescent="0.35">
      <c r="B418" s="15">
        <v>55094</v>
      </c>
      <c r="C418" s="10" t="s">
        <v>13</v>
      </c>
      <c r="D418" s="10">
        <v>2050</v>
      </c>
    </row>
    <row r="419" spans="2:4" x14ac:dyDescent="0.35">
      <c r="B419" s="15">
        <v>55107</v>
      </c>
      <c r="C419" s="10" t="s">
        <v>14</v>
      </c>
      <c r="D419" s="10">
        <v>2050</v>
      </c>
    </row>
    <row r="420" spans="2:4" x14ac:dyDescent="0.35">
      <c r="B420" s="15">
        <v>55147</v>
      </c>
      <c r="C420" s="10" t="s">
        <v>15</v>
      </c>
      <c r="D420" s="10">
        <v>2050</v>
      </c>
    </row>
    <row r="421" spans="2:4" x14ac:dyDescent="0.35">
      <c r="B421" s="15">
        <v>55154</v>
      </c>
      <c r="C421" s="10" t="s">
        <v>10</v>
      </c>
      <c r="D421" s="10">
        <v>2051</v>
      </c>
    </row>
    <row r="422" spans="2:4" x14ac:dyDescent="0.35">
      <c r="B422" s="15">
        <v>55197</v>
      </c>
      <c r="C422" s="10" t="s">
        <v>3</v>
      </c>
      <c r="D422" s="10">
        <v>2051</v>
      </c>
    </row>
    <row r="423" spans="2:4" x14ac:dyDescent="0.35">
      <c r="B423" s="15">
        <v>55198</v>
      </c>
      <c r="C423" s="10" t="s">
        <v>3</v>
      </c>
      <c r="D423" s="10">
        <v>2051</v>
      </c>
    </row>
    <row r="424" spans="2:4" x14ac:dyDescent="0.35">
      <c r="B424" s="15">
        <v>55243</v>
      </c>
      <c r="C424" s="10" t="s">
        <v>16</v>
      </c>
      <c r="D424" s="10">
        <v>2051</v>
      </c>
    </row>
    <row r="425" spans="2:4" x14ac:dyDescent="0.35">
      <c r="B425" s="15">
        <v>55264</v>
      </c>
      <c r="C425" s="10" t="s">
        <v>11</v>
      </c>
      <c r="D425" s="10">
        <v>2051</v>
      </c>
    </row>
    <row r="426" spans="2:4" x14ac:dyDescent="0.35">
      <c r="B426" s="15">
        <v>55245</v>
      </c>
      <c r="C426" s="10" t="s">
        <v>17</v>
      </c>
      <c r="D426" s="10">
        <v>2051</v>
      </c>
    </row>
    <row r="427" spans="2:4" x14ac:dyDescent="0.35">
      <c r="B427" s="15">
        <v>55274</v>
      </c>
      <c r="C427" s="10" t="s">
        <v>12</v>
      </c>
      <c r="D427" s="10">
        <v>2051</v>
      </c>
    </row>
    <row r="428" spans="2:4" x14ac:dyDescent="0.35">
      <c r="B428" s="15">
        <v>55305</v>
      </c>
      <c r="C428" s="10" t="s">
        <v>18</v>
      </c>
      <c r="D428" s="10">
        <v>2051</v>
      </c>
    </row>
    <row r="429" spans="2:4" x14ac:dyDescent="0.35">
      <c r="B429" s="15">
        <v>55403</v>
      </c>
      <c r="C429" s="10" t="s">
        <v>19</v>
      </c>
      <c r="D429" s="10">
        <v>2051</v>
      </c>
    </row>
    <row r="430" spans="2:4" x14ac:dyDescent="0.35">
      <c r="B430" s="15">
        <v>55438</v>
      </c>
      <c r="C430" s="10" t="s">
        <v>20</v>
      </c>
      <c r="D430" s="10">
        <v>2051</v>
      </c>
    </row>
    <row r="431" spans="2:4" x14ac:dyDescent="0.35">
      <c r="B431" s="15">
        <v>55459</v>
      </c>
      <c r="C431" s="10" t="s">
        <v>13</v>
      </c>
      <c r="D431" s="10">
        <v>2051</v>
      </c>
    </row>
    <row r="432" spans="2:4" x14ac:dyDescent="0.35">
      <c r="B432" s="15">
        <v>55472</v>
      </c>
      <c r="C432" s="10" t="s">
        <v>14</v>
      </c>
      <c r="D432" s="10">
        <v>2051</v>
      </c>
    </row>
    <row r="433" spans="2:4" x14ac:dyDescent="0.35">
      <c r="B433" s="15">
        <v>55512</v>
      </c>
      <c r="C433" s="10" t="s">
        <v>15</v>
      </c>
      <c r="D433" s="10">
        <v>2051</v>
      </c>
    </row>
    <row r="434" spans="2:4" x14ac:dyDescent="0.35">
      <c r="B434" s="15">
        <v>55519</v>
      </c>
      <c r="C434" s="10" t="s">
        <v>10</v>
      </c>
      <c r="D434" s="10">
        <v>2052</v>
      </c>
    </row>
    <row r="435" spans="2:4" x14ac:dyDescent="0.35">
      <c r="B435" s="15">
        <v>55582</v>
      </c>
      <c r="C435" s="10" t="s">
        <v>3</v>
      </c>
      <c r="D435" s="10">
        <v>2052</v>
      </c>
    </row>
    <row r="436" spans="2:4" x14ac:dyDescent="0.35">
      <c r="B436" s="15">
        <v>55583</v>
      </c>
      <c r="C436" s="10" t="s">
        <v>3</v>
      </c>
      <c r="D436" s="10">
        <v>2052</v>
      </c>
    </row>
    <row r="437" spans="2:4" x14ac:dyDescent="0.35">
      <c r="B437" s="15">
        <v>55628</v>
      </c>
      <c r="C437" s="10" t="s">
        <v>16</v>
      </c>
      <c r="D437" s="10">
        <v>2052</v>
      </c>
    </row>
    <row r="438" spans="2:4" x14ac:dyDescent="0.35">
      <c r="B438" s="15">
        <v>55630</v>
      </c>
      <c r="C438" s="10" t="s">
        <v>11</v>
      </c>
      <c r="D438" s="10">
        <v>2052</v>
      </c>
    </row>
    <row r="439" spans="2:4" x14ac:dyDescent="0.35">
      <c r="B439" s="15">
        <v>55630</v>
      </c>
      <c r="C439" s="10" t="s">
        <v>17</v>
      </c>
      <c r="D439" s="10">
        <v>2052</v>
      </c>
    </row>
    <row r="440" spans="2:4" x14ac:dyDescent="0.35">
      <c r="B440" s="15">
        <v>55640</v>
      </c>
      <c r="C440" s="10" t="s">
        <v>12</v>
      </c>
      <c r="D440" s="10">
        <v>2052</v>
      </c>
    </row>
    <row r="441" spans="2:4" x14ac:dyDescent="0.35">
      <c r="B441" s="15">
        <v>55690</v>
      </c>
      <c r="C441" s="10" t="s">
        <v>18</v>
      </c>
      <c r="D441" s="10">
        <v>2052</v>
      </c>
    </row>
    <row r="442" spans="2:4" x14ac:dyDescent="0.35">
      <c r="B442" s="15">
        <v>55769</v>
      </c>
      <c r="C442" s="10" t="s">
        <v>19</v>
      </c>
      <c r="D442" s="10">
        <v>2052</v>
      </c>
    </row>
    <row r="443" spans="2:4" x14ac:dyDescent="0.35">
      <c r="B443" s="15">
        <v>55804</v>
      </c>
      <c r="C443" s="10" t="s">
        <v>20</v>
      </c>
      <c r="D443" s="10">
        <v>2052</v>
      </c>
    </row>
    <row r="444" spans="2:4" x14ac:dyDescent="0.35">
      <c r="B444" s="15">
        <v>55825</v>
      </c>
      <c r="C444" s="10" t="s">
        <v>13</v>
      </c>
      <c r="D444" s="10">
        <v>2052</v>
      </c>
    </row>
    <row r="445" spans="2:4" x14ac:dyDescent="0.35">
      <c r="B445" s="15">
        <v>55838</v>
      </c>
      <c r="C445" s="10" t="s">
        <v>14</v>
      </c>
      <c r="D445" s="10">
        <v>2052</v>
      </c>
    </row>
    <row r="446" spans="2:4" x14ac:dyDescent="0.35">
      <c r="B446" s="15">
        <v>55878</v>
      </c>
      <c r="C446" s="10" t="s">
        <v>15</v>
      </c>
      <c r="D446" s="10">
        <v>2052</v>
      </c>
    </row>
    <row r="447" spans="2:4" x14ac:dyDescent="0.35">
      <c r="B447" s="15">
        <v>55885</v>
      </c>
      <c r="C447" s="10" t="s">
        <v>10</v>
      </c>
      <c r="D447" s="10">
        <v>2053</v>
      </c>
    </row>
    <row r="448" spans="2:4" x14ac:dyDescent="0.35">
      <c r="B448" s="15">
        <v>55932</v>
      </c>
      <c r="C448" s="10" t="s">
        <v>3</v>
      </c>
      <c r="D448" s="10">
        <v>2053</v>
      </c>
    </row>
    <row r="449" spans="2:4" x14ac:dyDescent="0.35">
      <c r="B449" s="15">
        <v>55933</v>
      </c>
      <c r="C449" s="10" t="s">
        <v>3</v>
      </c>
      <c r="D449" s="10">
        <v>2053</v>
      </c>
    </row>
    <row r="450" spans="2:4" x14ac:dyDescent="0.35">
      <c r="B450" s="15">
        <v>55978</v>
      </c>
      <c r="C450" s="10" t="s">
        <v>16</v>
      </c>
      <c r="D450" s="10">
        <v>2053</v>
      </c>
    </row>
    <row r="451" spans="2:4" x14ac:dyDescent="0.35">
      <c r="B451" s="15">
        <v>55995</v>
      </c>
      <c r="C451" s="10" t="s">
        <v>11</v>
      </c>
      <c r="D451" s="10">
        <v>2053</v>
      </c>
    </row>
    <row r="452" spans="2:4" x14ac:dyDescent="0.35">
      <c r="B452" s="15">
        <v>55980</v>
      </c>
      <c r="C452" s="10" t="s">
        <v>17</v>
      </c>
      <c r="D452" s="10">
        <v>2053</v>
      </c>
    </row>
    <row r="453" spans="2:4" x14ac:dyDescent="0.35">
      <c r="B453" s="15">
        <v>56005</v>
      </c>
      <c r="C453" s="10" t="s">
        <v>12</v>
      </c>
      <c r="D453" s="10">
        <v>2053</v>
      </c>
    </row>
    <row r="454" spans="2:4" x14ac:dyDescent="0.35">
      <c r="B454" s="15">
        <v>56040</v>
      </c>
      <c r="C454" s="10" t="s">
        <v>18</v>
      </c>
      <c r="D454" s="10">
        <v>2053</v>
      </c>
    </row>
    <row r="455" spans="2:4" x14ac:dyDescent="0.35">
      <c r="B455" s="15">
        <v>56134</v>
      </c>
      <c r="C455" s="10" t="s">
        <v>19</v>
      </c>
      <c r="D455" s="10">
        <v>2053</v>
      </c>
    </row>
    <row r="456" spans="2:4" x14ac:dyDescent="0.35">
      <c r="B456" s="15">
        <v>56169</v>
      </c>
      <c r="C456" s="10" t="s">
        <v>20</v>
      </c>
      <c r="D456" s="10">
        <v>2053</v>
      </c>
    </row>
    <row r="457" spans="2:4" x14ac:dyDescent="0.35">
      <c r="B457" s="15">
        <v>56190</v>
      </c>
      <c r="C457" s="10" t="s">
        <v>13</v>
      </c>
      <c r="D457" s="10">
        <v>2053</v>
      </c>
    </row>
    <row r="458" spans="2:4" x14ac:dyDescent="0.35">
      <c r="B458" s="15">
        <v>56203</v>
      </c>
      <c r="C458" s="10" t="s">
        <v>14</v>
      </c>
      <c r="D458" s="10">
        <v>2053</v>
      </c>
    </row>
    <row r="459" spans="2:4" x14ac:dyDescent="0.35">
      <c r="B459" s="15">
        <v>56243</v>
      </c>
      <c r="C459" s="10" t="s">
        <v>15</v>
      </c>
      <c r="D459" s="10">
        <v>2053</v>
      </c>
    </row>
    <row r="460" spans="2:4" x14ac:dyDescent="0.35">
      <c r="B460" s="15">
        <v>56250</v>
      </c>
      <c r="C460" s="10" t="s">
        <v>10</v>
      </c>
      <c r="D460" s="10">
        <v>2054</v>
      </c>
    </row>
    <row r="461" spans="2:4" x14ac:dyDescent="0.35">
      <c r="B461" s="15">
        <v>56289</v>
      </c>
      <c r="C461" s="10" t="s">
        <v>3</v>
      </c>
      <c r="D461" s="10">
        <v>2054</v>
      </c>
    </row>
    <row r="462" spans="2:4" x14ac:dyDescent="0.35">
      <c r="B462" s="15">
        <v>56290</v>
      </c>
      <c r="C462" s="10" t="s">
        <v>3</v>
      </c>
      <c r="D462" s="10">
        <v>2054</v>
      </c>
    </row>
    <row r="463" spans="2:4" x14ac:dyDescent="0.35">
      <c r="B463" s="15">
        <v>56335</v>
      </c>
      <c r="C463" s="10" t="s">
        <v>16</v>
      </c>
      <c r="D463" s="10">
        <v>2054</v>
      </c>
    </row>
    <row r="464" spans="2:4" x14ac:dyDescent="0.35">
      <c r="B464" s="15">
        <v>56360</v>
      </c>
      <c r="C464" s="10" t="s">
        <v>11</v>
      </c>
      <c r="D464" s="10">
        <v>2054</v>
      </c>
    </row>
    <row r="465" spans="2:4" x14ac:dyDescent="0.35">
      <c r="B465" s="15">
        <v>56337</v>
      </c>
      <c r="C465" s="10" t="s">
        <v>17</v>
      </c>
      <c r="D465" s="10">
        <v>2054</v>
      </c>
    </row>
    <row r="466" spans="2:4" x14ac:dyDescent="0.35">
      <c r="B466" s="15">
        <v>56370</v>
      </c>
      <c r="C466" s="10" t="s">
        <v>12</v>
      </c>
      <c r="D466" s="10">
        <v>2054</v>
      </c>
    </row>
    <row r="467" spans="2:4" x14ac:dyDescent="0.35">
      <c r="B467" s="15">
        <v>56397</v>
      </c>
      <c r="C467" s="10" t="s">
        <v>18</v>
      </c>
      <c r="D467" s="10">
        <v>2054</v>
      </c>
    </row>
    <row r="468" spans="2:4" x14ac:dyDescent="0.35">
      <c r="B468" s="15">
        <v>56499</v>
      </c>
      <c r="C468" s="10" t="s">
        <v>19</v>
      </c>
      <c r="D468" s="10">
        <v>2054</v>
      </c>
    </row>
    <row r="469" spans="2:4" x14ac:dyDescent="0.35">
      <c r="B469" s="15">
        <v>56534</v>
      </c>
      <c r="C469" s="10" t="s">
        <v>20</v>
      </c>
      <c r="D469" s="10">
        <v>2054</v>
      </c>
    </row>
    <row r="470" spans="2:4" x14ac:dyDescent="0.35">
      <c r="B470" s="15">
        <v>56555</v>
      </c>
      <c r="C470" s="10" t="s">
        <v>13</v>
      </c>
      <c r="D470" s="10">
        <v>2054</v>
      </c>
    </row>
    <row r="471" spans="2:4" x14ac:dyDescent="0.35">
      <c r="B471" s="15">
        <v>56568</v>
      </c>
      <c r="C471" s="10" t="s">
        <v>14</v>
      </c>
      <c r="D471" s="10">
        <v>2054</v>
      </c>
    </row>
    <row r="472" spans="2:4" x14ac:dyDescent="0.35">
      <c r="B472" s="15">
        <v>56608</v>
      </c>
      <c r="C472" s="10" t="s">
        <v>15</v>
      </c>
      <c r="D472" s="10">
        <v>2054</v>
      </c>
    </row>
    <row r="473" spans="2:4" x14ac:dyDescent="0.35">
      <c r="B473" s="15">
        <v>56615</v>
      </c>
      <c r="C473" s="10" t="s">
        <v>10</v>
      </c>
      <c r="D473" s="10">
        <v>2055</v>
      </c>
    </row>
    <row r="474" spans="2:4" x14ac:dyDescent="0.35">
      <c r="B474" s="15">
        <v>56674</v>
      </c>
      <c r="C474" s="10" t="s">
        <v>3</v>
      </c>
      <c r="D474" s="10">
        <v>2055</v>
      </c>
    </row>
    <row r="475" spans="2:4" x14ac:dyDescent="0.35">
      <c r="B475" s="15">
        <v>56675</v>
      </c>
      <c r="C475" s="10" t="s">
        <v>3</v>
      </c>
      <c r="D475" s="10">
        <v>2055</v>
      </c>
    </row>
    <row r="476" spans="2:4" x14ac:dyDescent="0.35">
      <c r="B476" s="15">
        <v>56720</v>
      </c>
      <c r="C476" s="10" t="s">
        <v>16</v>
      </c>
      <c r="D476" s="10">
        <v>2055</v>
      </c>
    </row>
    <row r="477" spans="2:4" x14ac:dyDescent="0.35">
      <c r="B477" s="15">
        <v>56725</v>
      </c>
      <c r="C477" s="10" t="s">
        <v>11</v>
      </c>
      <c r="D477" s="10">
        <v>2055</v>
      </c>
    </row>
    <row r="478" spans="2:4" x14ac:dyDescent="0.35">
      <c r="B478" s="15">
        <v>56722</v>
      </c>
      <c r="C478" s="10" t="s">
        <v>17</v>
      </c>
      <c r="D478" s="10">
        <v>2055</v>
      </c>
    </row>
    <row r="479" spans="2:4" x14ac:dyDescent="0.35">
      <c r="B479" s="15">
        <v>56735</v>
      </c>
      <c r="C479" s="10" t="s">
        <v>12</v>
      </c>
      <c r="D479" s="10">
        <v>2055</v>
      </c>
    </row>
    <row r="480" spans="2:4" x14ac:dyDescent="0.35">
      <c r="B480" s="15">
        <v>56782</v>
      </c>
      <c r="C480" s="10" t="s">
        <v>18</v>
      </c>
      <c r="D480" s="10">
        <v>2055</v>
      </c>
    </row>
    <row r="481" spans="2:4" x14ac:dyDescent="0.35">
      <c r="B481" s="15">
        <v>56864</v>
      </c>
      <c r="C481" s="10" t="s">
        <v>19</v>
      </c>
      <c r="D481" s="10">
        <v>2055</v>
      </c>
    </row>
    <row r="482" spans="2:4" x14ac:dyDescent="0.35">
      <c r="B482" s="15">
        <v>56899</v>
      </c>
      <c r="C482" s="10" t="s">
        <v>20</v>
      </c>
      <c r="D482" s="10">
        <v>2055</v>
      </c>
    </row>
    <row r="483" spans="2:4" x14ac:dyDescent="0.35">
      <c r="B483" s="15">
        <v>56920</v>
      </c>
      <c r="C483" s="10" t="s">
        <v>13</v>
      </c>
      <c r="D483" s="10">
        <v>2055</v>
      </c>
    </row>
    <row r="484" spans="2:4" x14ac:dyDescent="0.35">
      <c r="B484" s="15">
        <v>56933</v>
      </c>
      <c r="C484" s="10" t="s">
        <v>14</v>
      </c>
      <c r="D484" s="10">
        <v>2055</v>
      </c>
    </row>
    <row r="485" spans="2:4" x14ac:dyDescent="0.35">
      <c r="B485" s="15">
        <v>56973</v>
      </c>
      <c r="C485" s="10" t="s">
        <v>15</v>
      </c>
      <c r="D485" s="10">
        <v>2055</v>
      </c>
    </row>
    <row r="486" spans="2:4" x14ac:dyDescent="0.35">
      <c r="B486" s="15">
        <v>56980</v>
      </c>
      <c r="C486" s="10" t="s">
        <v>10</v>
      </c>
      <c r="D486" s="10">
        <v>2056</v>
      </c>
    </row>
    <row r="487" spans="2:4" x14ac:dyDescent="0.35">
      <c r="B487" s="15">
        <v>57024</v>
      </c>
      <c r="C487" s="10" t="s">
        <v>3</v>
      </c>
      <c r="D487" s="10">
        <v>2056</v>
      </c>
    </row>
    <row r="488" spans="2:4" x14ac:dyDescent="0.35">
      <c r="B488" s="15">
        <v>57025</v>
      </c>
      <c r="C488" s="10" t="s">
        <v>3</v>
      </c>
      <c r="D488" s="10">
        <v>2056</v>
      </c>
    </row>
    <row r="489" spans="2:4" x14ac:dyDescent="0.35">
      <c r="B489" s="15">
        <v>57070</v>
      </c>
      <c r="C489" s="10" t="s">
        <v>16</v>
      </c>
      <c r="D489" s="10">
        <v>2056</v>
      </c>
    </row>
    <row r="490" spans="2:4" x14ac:dyDescent="0.35">
      <c r="B490" s="15">
        <v>57091</v>
      </c>
      <c r="C490" s="10" t="s">
        <v>11</v>
      </c>
      <c r="D490" s="10">
        <v>2056</v>
      </c>
    </row>
    <row r="491" spans="2:4" x14ac:dyDescent="0.35">
      <c r="B491" s="15">
        <v>57072</v>
      </c>
      <c r="C491" s="10" t="s">
        <v>17</v>
      </c>
      <c r="D491" s="10">
        <v>2056</v>
      </c>
    </row>
    <row r="492" spans="2:4" x14ac:dyDescent="0.35">
      <c r="B492" s="15">
        <v>57101</v>
      </c>
      <c r="C492" s="10" t="s">
        <v>12</v>
      </c>
      <c r="D492" s="10">
        <v>2056</v>
      </c>
    </row>
    <row r="493" spans="2:4" x14ac:dyDescent="0.35">
      <c r="B493" s="15">
        <v>57132</v>
      </c>
      <c r="C493" s="10" t="s">
        <v>18</v>
      </c>
      <c r="D493" s="10">
        <v>2056</v>
      </c>
    </row>
    <row r="494" spans="2:4" x14ac:dyDescent="0.35">
      <c r="B494" s="15">
        <v>57230</v>
      </c>
      <c r="C494" s="10" t="s">
        <v>19</v>
      </c>
      <c r="D494" s="10">
        <v>2056</v>
      </c>
    </row>
    <row r="495" spans="2:4" x14ac:dyDescent="0.35">
      <c r="B495" s="15">
        <v>57265</v>
      </c>
      <c r="C495" s="10" t="s">
        <v>20</v>
      </c>
      <c r="D495" s="10">
        <v>2056</v>
      </c>
    </row>
    <row r="496" spans="2:4" x14ac:dyDescent="0.35">
      <c r="B496" s="15">
        <v>57286</v>
      </c>
      <c r="C496" s="10" t="s">
        <v>13</v>
      </c>
      <c r="D496" s="10">
        <v>2056</v>
      </c>
    </row>
    <row r="497" spans="2:4" x14ac:dyDescent="0.35">
      <c r="B497" s="15">
        <v>57299</v>
      </c>
      <c r="C497" s="10" t="s">
        <v>14</v>
      </c>
      <c r="D497" s="10">
        <v>2056</v>
      </c>
    </row>
    <row r="498" spans="2:4" x14ac:dyDescent="0.35">
      <c r="B498" s="15">
        <v>57339</v>
      </c>
      <c r="C498" s="10" t="s">
        <v>15</v>
      </c>
      <c r="D498" s="10">
        <v>2056</v>
      </c>
    </row>
    <row r="499" spans="2:4" x14ac:dyDescent="0.35">
      <c r="B499" s="15">
        <v>57346</v>
      </c>
      <c r="C499" s="10" t="s">
        <v>10</v>
      </c>
      <c r="D499" s="10">
        <v>2057</v>
      </c>
    </row>
    <row r="500" spans="2:4" x14ac:dyDescent="0.35">
      <c r="B500" s="15">
        <v>57409</v>
      </c>
      <c r="C500" s="10" t="s">
        <v>3</v>
      </c>
      <c r="D500" s="10">
        <v>2057</v>
      </c>
    </row>
    <row r="501" spans="2:4" x14ac:dyDescent="0.35">
      <c r="B501" s="15">
        <v>57410</v>
      </c>
      <c r="C501" s="10" t="s">
        <v>3</v>
      </c>
      <c r="D501" s="10">
        <v>2057</v>
      </c>
    </row>
    <row r="502" spans="2:4" x14ac:dyDescent="0.35">
      <c r="B502" s="15">
        <v>57455</v>
      </c>
      <c r="C502" s="10" t="s">
        <v>16</v>
      </c>
      <c r="D502" s="10">
        <v>2057</v>
      </c>
    </row>
    <row r="503" spans="2:4" x14ac:dyDescent="0.35">
      <c r="B503" s="15">
        <v>57456</v>
      </c>
      <c r="C503" s="10" t="s">
        <v>11</v>
      </c>
      <c r="D503" s="10">
        <v>2057</v>
      </c>
    </row>
    <row r="504" spans="2:4" x14ac:dyDescent="0.35">
      <c r="B504" s="15">
        <v>57457</v>
      </c>
      <c r="C504" s="10" t="s">
        <v>17</v>
      </c>
      <c r="D504" s="10">
        <v>2057</v>
      </c>
    </row>
    <row r="505" spans="2:4" x14ac:dyDescent="0.35">
      <c r="B505" s="15">
        <v>57466</v>
      </c>
      <c r="C505" s="10" t="s">
        <v>12</v>
      </c>
      <c r="D505" s="10">
        <v>2057</v>
      </c>
    </row>
    <row r="506" spans="2:4" x14ac:dyDescent="0.35">
      <c r="B506" s="15">
        <v>57517</v>
      </c>
      <c r="C506" s="10" t="s">
        <v>18</v>
      </c>
      <c r="D506" s="10">
        <v>2057</v>
      </c>
    </row>
    <row r="507" spans="2:4" x14ac:dyDescent="0.35">
      <c r="B507" s="15">
        <v>57595</v>
      </c>
      <c r="C507" s="10" t="s">
        <v>19</v>
      </c>
      <c r="D507" s="10">
        <v>2057</v>
      </c>
    </row>
    <row r="508" spans="2:4" x14ac:dyDescent="0.35">
      <c r="B508" s="15">
        <v>57630</v>
      </c>
      <c r="C508" s="10" t="s">
        <v>20</v>
      </c>
      <c r="D508" s="10">
        <v>2057</v>
      </c>
    </row>
    <row r="509" spans="2:4" x14ac:dyDescent="0.35">
      <c r="B509" s="15">
        <v>57651</v>
      </c>
      <c r="C509" s="10" t="s">
        <v>13</v>
      </c>
      <c r="D509" s="10">
        <v>2057</v>
      </c>
    </row>
    <row r="510" spans="2:4" x14ac:dyDescent="0.35">
      <c r="B510" s="15">
        <v>57664</v>
      </c>
      <c r="C510" s="10" t="s">
        <v>14</v>
      </c>
      <c r="D510" s="10">
        <v>2057</v>
      </c>
    </row>
    <row r="511" spans="2:4" x14ac:dyDescent="0.35">
      <c r="B511" s="15">
        <v>57704</v>
      </c>
      <c r="C511" s="10" t="s">
        <v>15</v>
      </c>
      <c r="D511" s="10">
        <v>2057</v>
      </c>
    </row>
    <row r="512" spans="2:4" x14ac:dyDescent="0.35">
      <c r="B512" s="15">
        <v>57711</v>
      </c>
      <c r="C512" s="10" t="s">
        <v>10</v>
      </c>
      <c r="D512" s="10">
        <v>2058</v>
      </c>
    </row>
    <row r="513" spans="2:4" x14ac:dyDescent="0.35">
      <c r="B513" s="15">
        <v>57766</v>
      </c>
      <c r="C513" s="10" t="s">
        <v>3</v>
      </c>
      <c r="D513" s="10">
        <v>2058</v>
      </c>
    </row>
    <row r="514" spans="2:4" x14ac:dyDescent="0.35">
      <c r="B514" s="15">
        <v>57767</v>
      </c>
      <c r="C514" s="10" t="s">
        <v>3</v>
      </c>
      <c r="D514" s="10">
        <v>2058</v>
      </c>
    </row>
    <row r="515" spans="2:4" x14ac:dyDescent="0.35">
      <c r="B515" s="15">
        <v>57812</v>
      </c>
      <c r="C515" s="10" t="s">
        <v>16</v>
      </c>
      <c r="D515" s="10">
        <v>2058</v>
      </c>
    </row>
    <row r="516" spans="2:4" x14ac:dyDescent="0.35">
      <c r="B516" s="15">
        <v>57821</v>
      </c>
      <c r="C516" s="10" t="s">
        <v>11</v>
      </c>
      <c r="D516" s="10">
        <v>2058</v>
      </c>
    </row>
    <row r="517" spans="2:4" x14ac:dyDescent="0.35">
      <c r="B517" s="15">
        <v>57814</v>
      </c>
      <c r="C517" s="10" t="s">
        <v>17</v>
      </c>
      <c r="D517" s="10">
        <v>2058</v>
      </c>
    </row>
    <row r="518" spans="2:4" x14ac:dyDescent="0.35">
      <c r="B518" s="15">
        <v>57831</v>
      </c>
      <c r="C518" s="10" t="s">
        <v>12</v>
      </c>
      <c r="D518" s="10">
        <v>2058</v>
      </c>
    </row>
    <row r="519" spans="2:4" x14ac:dyDescent="0.35">
      <c r="B519" s="15">
        <v>57874</v>
      </c>
      <c r="C519" s="10" t="s">
        <v>18</v>
      </c>
      <c r="D519" s="10">
        <v>2058</v>
      </c>
    </row>
    <row r="520" spans="2:4" x14ac:dyDescent="0.35">
      <c r="B520" s="15">
        <v>57960</v>
      </c>
      <c r="C520" s="10" t="s">
        <v>19</v>
      </c>
      <c r="D520" s="10">
        <v>2058</v>
      </c>
    </row>
    <row r="521" spans="2:4" x14ac:dyDescent="0.35">
      <c r="B521" s="15">
        <v>57995</v>
      </c>
      <c r="C521" s="10" t="s">
        <v>20</v>
      </c>
      <c r="D521" s="10">
        <v>2058</v>
      </c>
    </row>
    <row r="522" spans="2:4" x14ac:dyDescent="0.35">
      <c r="B522" s="15">
        <v>58016</v>
      </c>
      <c r="C522" s="10" t="s">
        <v>13</v>
      </c>
      <c r="D522" s="10">
        <v>2058</v>
      </c>
    </row>
    <row r="523" spans="2:4" x14ac:dyDescent="0.35">
      <c r="B523" s="15">
        <v>58029</v>
      </c>
      <c r="C523" s="10" t="s">
        <v>14</v>
      </c>
      <c r="D523" s="10">
        <v>2058</v>
      </c>
    </row>
    <row r="524" spans="2:4" x14ac:dyDescent="0.35">
      <c r="B524" s="15">
        <v>58069</v>
      </c>
      <c r="C524" s="10" t="s">
        <v>15</v>
      </c>
      <c r="D524" s="10">
        <v>2058</v>
      </c>
    </row>
    <row r="525" spans="2:4" x14ac:dyDescent="0.35">
      <c r="B525" s="15">
        <v>58076</v>
      </c>
      <c r="C525" s="10" t="s">
        <v>10</v>
      </c>
      <c r="D525" s="10">
        <v>2059</v>
      </c>
    </row>
    <row r="526" spans="2:4" x14ac:dyDescent="0.35">
      <c r="B526" s="15">
        <v>58116</v>
      </c>
      <c r="C526" s="10" t="s">
        <v>3</v>
      </c>
      <c r="D526" s="10">
        <v>2059</v>
      </c>
    </row>
    <row r="527" spans="2:4" x14ac:dyDescent="0.35">
      <c r="B527" s="15">
        <v>58117</v>
      </c>
      <c r="C527" s="10" t="s">
        <v>3</v>
      </c>
      <c r="D527" s="10">
        <v>2059</v>
      </c>
    </row>
    <row r="528" spans="2:4" x14ac:dyDescent="0.35">
      <c r="B528" s="15">
        <v>58162</v>
      </c>
      <c r="C528" s="10" t="s">
        <v>16</v>
      </c>
      <c r="D528" s="10">
        <v>2059</v>
      </c>
    </row>
    <row r="529" spans="2:4" x14ac:dyDescent="0.35">
      <c r="B529" s="15">
        <v>58186</v>
      </c>
      <c r="C529" s="10" t="s">
        <v>11</v>
      </c>
      <c r="D529" s="10">
        <v>2059</v>
      </c>
    </row>
    <row r="530" spans="2:4" x14ac:dyDescent="0.35">
      <c r="B530" s="15">
        <v>58164</v>
      </c>
      <c r="C530" s="10" t="s">
        <v>17</v>
      </c>
      <c r="D530" s="10">
        <v>2059</v>
      </c>
    </row>
    <row r="531" spans="2:4" x14ac:dyDescent="0.35">
      <c r="B531" s="15">
        <v>58196</v>
      </c>
      <c r="C531" s="10" t="s">
        <v>12</v>
      </c>
      <c r="D531" s="10">
        <v>2059</v>
      </c>
    </row>
    <row r="532" spans="2:4" x14ac:dyDescent="0.35">
      <c r="B532" s="15">
        <v>58224</v>
      </c>
      <c r="C532" s="10" t="s">
        <v>18</v>
      </c>
      <c r="D532" s="10">
        <v>2059</v>
      </c>
    </row>
    <row r="533" spans="2:4" x14ac:dyDescent="0.35">
      <c r="B533" s="15">
        <v>58325</v>
      </c>
      <c r="C533" s="10" t="s">
        <v>19</v>
      </c>
      <c r="D533" s="10">
        <v>2059</v>
      </c>
    </row>
    <row r="534" spans="2:4" x14ac:dyDescent="0.35">
      <c r="B534" s="15">
        <v>58360</v>
      </c>
      <c r="C534" s="10" t="s">
        <v>20</v>
      </c>
      <c r="D534" s="10">
        <v>2059</v>
      </c>
    </row>
    <row r="535" spans="2:4" x14ac:dyDescent="0.35">
      <c r="B535" s="15">
        <v>58381</v>
      </c>
      <c r="C535" s="10" t="s">
        <v>13</v>
      </c>
      <c r="D535" s="10">
        <v>2059</v>
      </c>
    </row>
    <row r="536" spans="2:4" x14ac:dyDescent="0.35">
      <c r="B536" s="15">
        <v>58394</v>
      </c>
      <c r="C536" s="10" t="s">
        <v>14</v>
      </c>
      <c r="D536" s="10">
        <v>2059</v>
      </c>
    </row>
    <row r="537" spans="2:4" x14ac:dyDescent="0.35">
      <c r="B537" s="15">
        <v>58434</v>
      </c>
      <c r="C537" s="10" t="s">
        <v>15</v>
      </c>
      <c r="D537" s="10">
        <v>2059</v>
      </c>
    </row>
    <row r="538" spans="2:4" x14ac:dyDescent="0.35">
      <c r="B538" s="15">
        <v>58441</v>
      </c>
      <c r="C538" s="10" t="s">
        <v>10</v>
      </c>
      <c r="D538" s="10">
        <v>2060</v>
      </c>
    </row>
    <row r="539" spans="2:4" x14ac:dyDescent="0.35">
      <c r="B539" s="15">
        <v>58501</v>
      </c>
      <c r="C539" s="10" t="s">
        <v>3</v>
      </c>
      <c r="D539" s="10">
        <v>2060</v>
      </c>
    </row>
    <row r="540" spans="2:4" x14ac:dyDescent="0.35">
      <c r="B540" s="15">
        <v>58502</v>
      </c>
      <c r="C540" s="10" t="s">
        <v>3</v>
      </c>
      <c r="D540" s="10">
        <v>2060</v>
      </c>
    </row>
    <row r="541" spans="2:4" x14ac:dyDescent="0.35">
      <c r="B541" s="15">
        <v>58547</v>
      </c>
      <c r="C541" s="10" t="s">
        <v>16</v>
      </c>
      <c r="D541" s="10">
        <v>2060</v>
      </c>
    </row>
    <row r="542" spans="2:4" x14ac:dyDescent="0.35">
      <c r="B542" s="15">
        <v>58552</v>
      </c>
      <c r="C542" s="10" t="s">
        <v>11</v>
      </c>
      <c r="D542" s="10">
        <v>2060</v>
      </c>
    </row>
    <row r="543" spans="2:4" x14ac:dyDescent="0.35">
      <c r="B543" s="15">
        <v>58549</v>
      </c>
      <c r="C543" s="10" t="s">
        <v>17</v>
      </c>
      <c r="D543" s="10">
        <v>2060</v>
      </c>
    </row>
    <row r="544" spans="2:4" x14ac:dyDescent="0.35">
      <c r="B544" s="15">
        <v>58562</v>
      </c>
      <c r="C544" s="10" t="s">
        <v>12</v>
      </c>
      <c r="D544" s="10">
        <v>2060</v>
      </c>
    </row>
    <row r="545" spans="2:4" x14ac:dyDescent="0.35">
      <c r="B545" s="15">
        <v>58609</v>
      </c>
      <c r="C545" s="10" t="s">
        <v>18</v>
      </c>
      <c r="D545" s="10">
        <v>2060</v>
      </c>
    </row>
    <row r="546" spans="2:4" x14ac:dyDescent="0.35">
      <c r="B546" s="15">
        <v>58691</v>
      </c>
      <c r="C546" s="10" t="s">
        <v>19</v>
      </c>
      <c r="D546" s="10">
        <v>2060</v>
      </c>
    </row>
    <row r="547" spans="2:4" x14ac:dyDescent="0.35">
      <c r="B547" s="15">
        <v>58726</v>
      </c>
      <c r="C547" s="10" t="s">
        <v>20</v>
      </c>
      <c r="D547" s="10">
        <v>2060</v>
      </c>
    </row>
    <row r="548" spans="2:4" x14ac:dyDescent="0.35">
      <c r="B548" s="15">
        <v>58747</v>
      </c>
      <c r="C548" s="10" t="s">
        <v>13</v>
      </c>
      <c r="D548" s="10">
        <v>2060</v>
      </c>
    </row>
    <row r="549" spans="2:4" x14ac:dyDescent="0.35">
      <c r="B549" s="15">
        <v>58760</v>
      </c>
      <c r="C549" s="10" t="s">
        <v>14</v>
      </c>
      <c r="D549" s="10">
        <v>2060</v>
      </c>
    </row>
    <row r="550" spans="2:4" x14ac:dyDescent="0.35">
      <c r="B550" s="15">
        <v>58800</v>
      </c>
      <c r="C550" s="10" t="s">
        <v>15</v>
      </c>
      <c r="D550" s="10">
        <v>2060</v>
      </c>
    </row>
    <row r="551" spans="2:4" x14ac:dyDescent="0.35">
      <c r="B551" s="15">
        <v>58807</v>
      </c>
      <c r="C551" s="10" t="s">
        <v>10</v>
      </c>
      <c r="D551" s="10">
        <v>2061</v>
      </c>
    </row>
    <row r="552" spans="2:4" x14ac:dyDescent="0.35">
      <c r="B552" s="15">
        <v>58858</v>
      </c>
      <c r="C552" s="10" t="s">
        <v>3</v>
      </c>
      <c r="D552" s="10">
        <v>2061</v>
      </c>
    </row>
    <row r="553" spans="2:4" x14ac:dyDescent="0.35">
      <c r="B553" s="15">
        <v>58859</v>
      </c>
      <c r="C553" s="10" t="s">
        <v>3</v>
      </c>
      <c r="D553" s="10">
        <v>2061</v>
      </c>
    </row>
    <row r="554" spans="2:4" x14ac:dyDescent="0.35">
      <c r="B554" s="15">
        <v>58904</v>
      </c>
      <c r="C554" s="10" t="s">
        <v>16</v>
      </c>
      <c r="D554" s="10">
        <v>2061</v>
      </c>
    </row>
    <row r="555" spans="2:4" x14ac:dyDescent="0.35">
      <c r="B555" s="15">
        <v>58917</v>
      </c>
      <c r="C555" s="10" t="s">
        <v>11</v>
      </c>
      <c r="D555" s="10">
        <v>2061</v>
      </c>
    </row>
    <row r="556" spans="2:4" x14ac:dyDescent="0.35">
      <c r="B556" s="15">
        <v>58906</v>
      </c>
      <c r="C556" s="10" t="s">
        <v>17</v>
      </c>
      <c r="D556" s="10">
        <v>2061</v>
      </c>
    </row>
    <row r="557" spans="2:4" x14ac:dyDescent="0.35">
      <c r="B557" s="15">
        <v>58927</v>
      </c>
      <c r="C557" s="10" t="s">
        <v>12</v>
      </c>
      <c r="D557" s="10">
        <v>2061</v>
      </c>
    </row>
    <row r="558" spans="2:4" x14ac:dyDescent="0.35">
      <c r="B558" s="15">
        <v>58966</v>
      </c>
      <c r="C558" s="10" t="s">
        <v>18</v>
      </c>
      <c r="D558" s="10">
        <v>2061</v>
      </c>
    </row>
    <row r="559" spans="2:4" x14ac:dyDescent="0.35">
      <c r="B559" s="15">
        <v>59056</v>
      </c>
      <c r="C559" s="10" t="s">
        <v>19</v>
      </c>
      <c r="D559" s="10">
        <v>2061</v>
      </c>
    </row>
    <row r="560" spans="2:4" x14ac:dyDescent="0.35">
      <c r="B560" s="15">
        <v>59091</v>
      </c>
      <c r="C560" s="10" t="s">
        <v>20</v>
      </c>
      <c r="D560" s="10">
        <v>2061</v>
      </c>
    </row>
    <row r="561" spans="2:4" x14ac:dyDescent="0.35">
      <c r="B561" s="15">
        <v>59112</v>
      </c>
      <c r="C561" s="10" t="s">
        <v>13</v>
      </c>
      <c r="D561" s="10">
        <v>2061</v>
      </c>
    </row>
    <row r="562" spans="2:4" x14ac:dyDescent="0.35">
      <c r="B562" s="15">
        <v>59125</v>
      </c>
      <c r="C562" s="10" t="s">
        <v>14</v>
      </c>
      <c r="D562" s="10">
        <v>2061</v>
      </c>
    </row>
    <row r="563" spans="2:4" x14ac:dyDescent="0.35">
      <c r="B563" s="15">
        <v>59165</v>
      </c>
      <c r="C563" s="10" t="s">
        <v>15</v>
      </c>
      <c r="D563" s="10">
        <v>2061</v>
      </c>
    </row>
    <row r="564" spans="2:4" x14ac:dyDescent="0.35">
      <c r="B564" s="15">
        <v>59172</v>
      </c>
      <c r="C564" s="10" t="s">
        <v>10</v>
      </c>
      <c r="D564" s="10">
        <v>2062</v>
      </c>
    </row>
    <row r="565" spans="2:4" x14ac:dyDescent="0.35">
      <c r="B565" s="15">
        <v>59208</v>
      </c>
      <c r="C565" s="10" t="s">
        <v>3</v>
      </c>
      <c r="D565" s="10">
        <v>2062</v>
      </c>
    </row>
    <row r="566" spans="2:4" x14ac:dyDescent="0.35">
      <c r="B566" s="15">
        <v>59209</v>
      </c>
      <c r="C566" s="10" t="s">
        <v>3</v>
      </c>
      <c r="D566" s="10">
        <v>2062</v>
      </c>
    </row>
    <row r="567" spans="2:4" x14ac:dyDescent="0.35">
      <c r="B567" s="15">
        <v>59254</v>
      </c>
      <c r="C567" s="10" t="s">
        <v>16</v>
      </c>
      <c r="D567" s="10">
        <v>2062</v>
      </c>
    </row>
    <row r="568" spans="2:4" x14ac:dyDescent="0.35">
      <c r="B568" s="15">
        <v>59282</v>
      </c>
      <c r="C568" s="10" t="s">
        <v>11</v>
      </c>
      <c r="D568" s="10">
        <v>2062</v>
      </c>
    </row>
    <row r="569" spans="2:4" x14ac:dyDescent="0.35">
      <c r="B569" s="15">
        <v>59256</v>
      </c>
      <c r="C569" s="10" t="s">
        <v>17</v>
      </c>
      <c r="D569" s="10">
        <v>2062</v>
      </c>
    </row>
    <row r="570" spans="2:4" x14ac:dyDescent="0.35">
      <c r="B570" s="15">
        <v>59292</v>
      </c>
      <c r="C570" s="10" t="s">
        <v>12</v>
      </c>
      <c r="D570" s="10">
        <v>2062</v>
      </c>
    </row>
    <row r="571" spans="2:4" x14ac:dyDescent="0.35">
      <c r="B571" s="15">
        <v>59316</v>
      </c>
      <c r="C571" s="10" t="s">
        <v>18</v>
      </c>
      <c r="D571" s="10">
        <v>2062</v>
      </c>
    </row>
    <row r="572" spans="2:4" x14ac:dyDescent="0.35">
      <c r="B572" s="15">
        <v>59421</v>
      </c>
      <c r="C572" s="10" t="s">
        <v>19</v>
      </c>
      <c r="D572" s="10">
        <v>2062</v>
      </c>
    </row>
    <row r="573" spans="2:4" x14ac:dyDescent="0.35">
      <c r="B573" s="15">
        <v>59456</v>
      </c>
      <c r="C573" s="10" t="s">
        <v>20</v>
      </c>
      <c r="D573" s="10">
        <v>2062</v>
      </c>
    </row>
    <row r="574" spans="2:4" x14ac:dyDescent="0.35">
      <c r="B574" s="15">
        <v>59477</v>
      </c>
      <c r="C574" s="10" t="s">
        <v>13</v>
      </c>
      <c r="D574" s="10">
        <v>2062</v>
      </c>
    </row>
    <row r="575" spans="2:4" x14ac:dyDescent="0.35">
      <c r="B575" s="15">
        <v>59490</v>
      </c>
      <c r="C575" s="10" t="s">
        <v>14</v>
      </c>
      <c r="D575" s="10">
        <v>2062</v>
      </c>
    </row>
    <row r="576" spans="2:4" x14ac:dyDescent="0.35">
      <c r="B576" s="15">
        <v>59530</v>
      </c>
      <c r="C576" s="10" t="s">
        <v>15</v>
      </c>
      <c r="D576" s="10">
        <v>2062</v>
      </c>
    </row>
    <row r="577" spans="2:4" x14ac:dyDescent="0.35">
      <c r="B577" s="15">
        <v>59537</v>
      </c>
      <c r="C577" s="10" t="s">
        <v>10</v>
      </c>
      <c r="D577" s="10">
        <v>2063</v>
      </c>
    </row>
    <row r="578" spans="2:4" x14ac:dyDescent="0.35">
      <c r="B578" s="15">
        <v>59593</v>
      </c>
      <c r="C578" s="10" t="s">
        <v>3</v>
      </c>
      <c r="D578" s="10">
        <v>2063</v>
      </c>
    </row>
    <row r="579" spans="2:4" x14ac:dyDescent="0.35">
      <c r="B579" s="15">
        <v>59594</v>
      </c>
      <c r="C579" s="10" t="s">
        <v>3</v>
      </c>
      <c r="D579" s="10">
        <v>2063</v>
      </c>
    </row>
    <row r="580" spans="2:4" x14ac:dyDescent="0.35">
      <c r="B580" s="15">
        <v>59639</v>
      </c>
      <c r="C580" s="10" t="s">
        <v>16</v>
      </c>
      <c r="D580" s="10">
        <v>2063</v>
      </c>
    </row>
    <row r="581" spans="2:4" x14ac:dyDescent="0.35">
      <c r="B581" s="15">
        <v>59647</v>
      </c>
      <c r="C581" s="10" t="s">
        <v>11</v>
      </c>
      <c r="D581" s="10">
        <v>2063</v>
      </c>
    </row>
    <row r="582" spans="2:4" x14ac:dyDescent="0.35">
      <c r="B582" s="15">
        <v>59641</v>
      </c>
      <c r="C582" s="10" t="s">
        <v>17</v>
      </c>
      <c r="D582" s="10">
        <v>2063</v>
      </c>
    </row>
    <row r="583" spans="2:4" x14ac:dyDescent="0.35">
      <c r="B583" s="15">
        <v>59657</v>
      </c>
      <c r="C583" s="10" t="s">
        <v>12</v>
      </c>
      <c r="D583" s="10">
        <v>2063</v>
      </c>
    </row>
    <row r="584" spans="2:4" x14ac:dyDescent="0.35">
      <c r="B584" s="15">
        <v>59701</v>
      </c>
      <c r="C584" s="10" t="s">
        <v>18</v>
      </c>
      <c r="D584" s="10">
        <v>2063</v>
      </c>
    </row>
    <row r="585" spans="2:4" x14ac:dyDescent="0.35">
      <c r="B585" s="15">
        <v>59786</v>
      </c>
      <c r="C585" s="10" t="s">
        <v>19</v>
      </c>
      <c r="D585" s="10">
        <v>2063</v>
      </c>
    </row>
    <row r="586" spans="2:4" x14ac:dyDescent="0.35">
      <c r="B586" s="15">
        <v>59821</v>
      </c>
      <c r="C586" s="10" t="s">
        <v>20</v>
      </c>
      <c r="D586" s="10">
        <v>2063</v>
      </c>
    </row>
    <row r="587" spans="2:4" x14ac:dyDescent="0.35">
      <c r="B587" s="15">
        <v>59842</v>
      </c>
      <c r="C587" s="10" t="s">
        <v>13</v>
      </c>
      <c r="D587" s="10">
        <v>2063</v>
      </c>
    </row>
    <row r="588" spans="2:4" x14ac:dyDescent="0.35">
      <c r="B588" s="15">
        <v>59855</v>
      </c>
      <c r="C588" s="10" t="s">
        <v>14</v>
      </c>
      <c r="D588" s="10">
        <v>2063</v>
      </c>
    </row>
    <row r="589" spans="2:4" x14ac:dyDescent="0.35">
      <c r="B589" s="15">
        <v>59895</v>
      </c>
      <c r="C589" s="10" t="s">
        <v>15</v>
      </c>
      <c r="D589" s="10">
        <v>2063</v>
      </c>
    </row>
    <row r="590" spans="2:4" x14ac:dyDescent="0.35">
      <c r="B590" s="15">
        <v>59902</v>
      </c>
      <c r="C590" s="10" t="s">
        <v>10</v>
      </c>
      <c r="D590" s="10">
        <v>2064</v>
      </c>
    </row>
    <row r="591" spans="2:4" x14ac:dyDescent="0.35">
      <c r="B591" s="15">
        <v>59950</v>
      </c>
      <c r="C591" s="10" t="s">
        <v>3</v>
      </c>
      <c r="D591" s="10">
        <v>2064</v>
      </c>
    </row>
    <row r="592" spans="2:4" x14ac:dyDescent="0.35">
      <c r="B592" s="15">
        <v>59951</v>
      </c>
      <c r="C592" s="10" t="s">
        <v>3</v>
      </c>
      <c r="D592" s="10">
        <v>2064</v>
      </c>
    </row>
    <row r="593" spans="2:4" x14ac:dyDescent="0.35">
      <c r="B593" s="15">
        <v>59996</v>
      </c>
      <c r="C593" s="10" t="s">
        <v>16</v>
      </c>
      <c r="D593" s="10">
        <v>2064</v>
      </c>
    </row>
    <row r="594" spans="2:4" x14ac:dyDescent="0.35">
      <c r="B594" s="15">
        <v>60013</v>
      </c>
      <c r="C594" s="10" t="s">
        <v>11</v>
      </c>
      <c r="D594" s="10">
        <v>2064</v>
      </c>
    </row>
    <row r="595" spans="2:4" x14ac:dyDescent="0.35">
      <c r="B595" s="15">
        <v>59998</v>
      </c>
      <c r="C595" s="10" t="s">
        <v>17</v>
      </c>
      <c r="D595" s="10">
        <v>2064</v>
      </c>
    </row>
    <row r="596" spans="2:4" x14ac:dyDescent="0.35">
      <c r="B596" s="15">
        <v>60023</v>
      </c>
      <c r="C596" s="10" t="s">
        <v>12</v>
      </c>
      <c r="D596" s="10">
        <v>2064</v>
      </c>
    </row>
    <row r="597" spans="2:4" x14ac:dyDescent="0.35">
      <c r="B597" s="15">
        <v>60058</v>
      </c>
      <c r="C597" s="10" t="s">
        <v>18</v>
      </c>
      <c r="D597" s="10">
        <v>2064</v>
      </c>
    </row>
    <row r="598" spans="2:4" x14ac:dyDescent="0.35">
      <c r="B598" s="15">
        <v>60152</v>
      </c>
      <c r="C598" s="10" t="s">
        <v>19</v>
      </c>
      <c r="D598" s="10">
        <v>2064</v>
      </c>
    </row>
    <row r="599" spans="2:4" x14ac:dyDescent="0.35">
      <c r="B599" s="15">
        <v>60187</v>
      </c>
      <c r="C599" s="10" t="s">
        <v>20</v>
      </c>
      <c r="D599" s="10">
        <v>2064</v>
      </c>
    </row>
    <row r="600" spans="2:4" x14ac:dyDescent="0.35">
      <c r="B600" s="15">
        <v>60208</v>
      </c>
      <c r="C600" s="10" t="s">
        <v>13</v>
      </c>
      <c r="D600" s="10">
        <v>2064</v>
      </c>
    </row>
    <row r="601" spans="2:4" x14ac:dyDescent="0.35">
      <c r="B601" s="15">
        <v>60221</v>
      </c>
      <c r="C601" s="10" t="s">
        <v>14</v>
      </c>
      <c r="D601" s="10">
        <v>2064</v>
      </c>
    </row>
    <row r="602" spans="2:4" x14ac:dyDescent="0.35">
      <c r="B602" s="15">
        <v>60261</v>
      </c>
      <c r="C602" s="10" t="s">
        <v>15</v>
      </c>
      <c r="D602" s="10">
        <v>2064</v>
      </c>
    </row>
    <row r="603" spans="2:4" x14ac:dyDescent="0.35">
      <c r="B603" s="15">
        <v>60268</v>
      </c>
      <c r="C603" s="10" t="s">
        <v>10</v>
      </c>
      <c r="D603" s="10">
        <v>2065</v>
      </c>
    </row>
    <row r="604" spans="2:4" x14ac:dyDescent="0.35">
      <c r="B604" s="15">
        <v>60307</v>
      </c>
      <c r="C604" s="10" t="s">
        <v>3</v>
      </c>
      <c r="D604" s="10">
        <v>2065</v>
      </c>
    </row>
    <row r="605" spans="2:4" x14ac:dyDescent="0.35">
      <c r="B605" s="15">
        <v>60308</v>
      </c>
      <c r="C605" s="10" t="s">
        <v>3</v>
      </c>
      <c r="D605" s="10">
        <v>2065</v>
      </c>
    </row>
    <row r="606" spans="2:4" x14ac:dyDescent="0.35">
      <c r="B606" s="15">
        <v>60353</v>
      </c>
      <c r="C606" s="10" t="s">
        <v>16</v>
      </c>
      <c r="D606" s="10">
        <v>2065</v>
      </c>
    </row>
    <row r="607" spans="2:4" x14ac:dyDescent="0.35">
      <c r="B607" s="15">
        <v>60378</v>
      </c>
      <c r="C607" s="10" t="s">
        <v>11</v>
      </c>
      <c r="D607" s="10">
        <v>2065</v>
      </c>
    </row>
    <row r="608" spans="2:4" x14ac:dyDescent="0.35">
      <c r="B608" s="15">
        <v>60355</v>
      </c>
      <c r="C608" s="10" t="s">
        <v>17</v>
      </c>
      <c r="D608" s="10">
        <v>2065</v>
      </c>
    </row>
    <row r="609" spans="2:4" x14ac:dyDescent="0.35">
      <c r="B609" s="15">
        <v>60388</v>
      </c>
      <c r="C609" s="10" t="s">
        <v>12</v>
      </c>
      <c r="D609" s="10">
        <v>2065</v>
      </c>
    </row>
    <row r="610" spans="2:4" x14ac:dyDescent="0.35">
      <c r="B610" s="15">
        <v>60415</v>
      </c>
      <c r="C610" s="10" t="s">
        <v>18</v>
      </c>
      <c r="D610" s="10">
        <v>2065</v>
      </c>
    </row>
    <row r="611" spans="2:4" x14ac:dyDescent="0.35">
      <c r="B611" s="15">
        <v>60517</v>
      </c>
      <c r="C611" s="10" t="s">
        <v>19</v>
      </c>
      <c r="D611" s="10">
        <v>2065</v>
      </c>
    </row>
    <row r="612" spans="2:4" x14ac:dyDescent="0.35">
      <c r="B612" s="15">
        <v>60552</v>
      </c>
      <c r="C612" s="10" t="s">
        <v>20</v>
      </c>
      <c r="D612" s="10">
        <v>2065</v>
      </c>
    </row>
    <row r="613" spans="2:4" x14ac:dyDescent="0.35">
      <c r="B613" s="15">
        <v>60573</v>
      </c>
      <c r="C613" s="10" t="s">
        <v>13</v>
      </c>
      <c r="D613" s="10">
        <v>2065</v>
      </c>
    </row>
    <row r="614" spans="2:4" x14ac:dyDescent="0.35">
      <c r="B614" s="15">
        <v>60586</v>
      </c>
      <c r="C614" s="10" t="s">
        <v>14</v>
      </c>
      <c r="D614" s="10">
        <v>2065</v>
      </c>
    </row>
    <row r="615" spans="2:4" x14ac:dyDescent="0.35">
      <c r="B615" s="15">
        <v>60626</v>
      </c>
      <c r="C615" s="10" t="s">
        <v>15</v>
      </c>
      <c r="D615" s="10">
        <v>2065</v>
      </c>
    </row>
    <row r="616" spans="2:4" x14ac:dyDescent="0.35">
      <c r="B616" s="15">
        <v>60633</v>
      </c>
      <c r="C616" s="10" t="s">
        <v>10</v>
      </c>
      <c r="D616" s="10">
        <v>2066</v>
      </c>
    </row>
    <row r="617" spans="2:4" x14ac:dyDescent="0.35">
      <c r="B617" s="15">
        <v>60685</v>
      </c>
      <c r="C617" s="10" t="s">
        <v>3</v>
      </c>
      <c r="D617" s="10">
        <v>2066</v>
      </c>
    </row>
    <row r="618" spans="2:4" x14ac:dyDescent="0.35">
      <c r="B618" s="15">
        <v>60686</v>
      </c>
      <c r="C618" s="10" t="s">
        <v>3</v>
      </c>
      <c r="D618" s="10">
        <v>2066</v>
      </c>
    </row>
    <row r="619" spans="2:4" x14ac:dyDescent="0.35">
      <c r="B619" s="15">
        <v>60731</v>
      </c>
      <c r="C619" s="10" t="s">
        <v>16</v>
      </c>
      <c r="D619" s="10">
        <v>2066</v>
      </c>
    </row>
    <row r="620" spans="2:4" x14ac:dyDescent="0.35">
      <c r="B620" s="15">
        <v>60743</v>
      </c>
      <c r="C620" s="10" t="s">
        <v>11</v>
      </c>
      <c r="D620" s="10">
        <v>2066</v>
      </c>
    </row>
    <row r="621" spans="2:4" x14ac:dyDescent="0.35">
      <c r="B621" s="15">
        <v>60733</v>
      </c>
      <c r="C621" s="10" t="s">
        <v>17</v>
      </c>
      <c r="D621" s="10">
        <v>2066</v>
      </c>
    </row>
    <row r="622" spans="2:4" x14ac:dyDescent="0.35">
      <c r="B622" s="15">
        <v>60753</v>
      </c>
      <c r="C622" s="10" t="s">
        <v>12</v>
      </c>
      <c r="D622" s="10">
        <v>2066</v>
      </c>
    </row>
    <row r="623" spans="2:4" x14ac:dyDescent="0.35">
      <c r="B623" s="15">
        <v>60793</v>
      </c>
      <c r="C623" s="10" t="s">
        <v>18</v>
      </c>
      <c r="D623" s="10">
        <v>2066</v>
      </c>
    </row>
    <row r="624" spans="2:4" x14ac:dyDescent="0.35">
      <c r="B624" s="15">
        <v>60882</v>
      </c>
      <c r="C624" s="10" t="s">
        <v>19</v>
      </c>
      <c r="D624" s="10">
        <v>2066</v>
      </c>
    </row>
    <row r="625" spans="2:4" x14ac:dyDescent="0.35">
      <c r="B625" s="15">
        <v>60917</v>
      </c>
      <c r="C625" s="10" t="s">
        <v>20</v>
      </c>
      <c r="D625" s="10">
        <v>2066</v>
      </c>
    </row>
    <row r="626" spans="2:4" x14ac:dyDescent="0.35">
      <c r="B626" s="15">
        <v>60938</v>
      </c>
      <c r="C626" s="10" t="s">
        <v>13</v>
      </c>
      <c r="D626" s="10">
        <v>2066</v>
      </c>
    </row>
    <row r="627" spans="2:4" x14ac:dyDescent="0.35">
      <c r="B627" s="15">
        <v>60951</v>
      </c>
      <c r="C627" s="10" t="s">
        <v>14</v>
      </c>
      <c r="D627" s="10">
        <v>2066</v>
      </c>
    </row>
    <row r="628" spans="2:4" x14ac:dyDescent="0.35">
      <c r="B628" s="15">
        <v>60991</v>
      </c>
      <c r="C628" s="10" t="s">
        <v>15</v>
      </c>
      <c r="D628" s="10">
        <v>2066</v>
      </c>
    </row>
    <row r="629" spans="2:4" x14ac:dyDescent="0.35">
      <c r="B629" s="15">
        <v>60998</v>
      </c>
      <c r="C629" s="10" t="s">
        <v>10</v>
      </c>
      <c r="D629" s="10">
        <v>2067</v>
      </c>
    </row>
    <row r="630" spans="2:4" x14ac:dyDescent="0.35">
      <c r="B630" s="15">
        <v>61042</v>
      </c>
      <c r="C630" s="10" t="s">
        <v>3</v>
      </c>
      <c r="D630" s="10">
        <v>2067</v>
      </c>
    </row>
    <row r="631" spans="2:4" x14ac:dyDescent="0.35">
      <c r="B631" s="15">
        <v>61043</v>
      </c>
      <c r="C631" s="10" t="s">
        <v>3</v>
      </c>
      <c r="D631" s="10">
        <v>2067</v>
      </c>
    </row>
    <row r="632" spans="2:4" x14ac:dyDescent="0.35">
      <c r="B632" s="15">
        <v>61088</v>
      </c>
      <c r="C632" s="10" t="s">
        <v>16</v>
      </c>
      <c r="D632" s="10">
        <v>2067</v>
      </c>
    </row>
    <row r="633" spans="2:4" x14ac:dyDescent="0.35">
      <c r="B633" s="15">
        <v>61108</v>
      </c>
      <c r="C633" s="10" t="s">
        <v>11</v>
      </c>
      <c r="D633" s="10">
        <v>2067</v>
      </c>
    </row>
    <row r="634" spans="2:4" x14ac:dyDescent="0.35">
      <c r="B634" s="15">
        <v>61090</v>
      </c>
      <c r="C634" s="10" t="s">
        <v>17</v>
      </c>
      <c r="D634" s="10">
        <v>2067</v>
      </c>
    </row>
    <row r="635" spans="2:4" x14ac:dyDescent="0.35">
      <c r="B635" s="15">
        <v>61118</v>
      </c>
      <c r="C635" s="10" t="s">
        <v>12</v>
      </c>
      <c r="D635" s="10">
        <v>2067</v>
      </c>
    </row>
    <row r="636" spans="2:4" x14ac:dyDescent="0.35">
      <c r="B636" s="15">
        <v>61150</v>
      </c>
      <c r="C636" s="10" t="s">
        <v>18</v>
      </c>
      <c r="D636" s="10">
        <v>2067</v>
      </c>
    </row>
    <row r="637" spans="2:4" x14ac:dyDescent="0.35">
      <c r="B637" s="15">
        <v>61247</v>
      </c>
      <c r="C637" s="10" t="s">
        <v>19</v>
      </c>
      <c r="D637" s="10">
        <v>2067</v>
      </c>
    </row>
    <row r="638" spans="2:4" x14ac:dyDescent="0.35">
      <c r="B638" s="15">
        <v>61282</v>
      </c>
      <c r="C638" s="10" t="s">
        <v>20</v>
      </c>
      <c r="D638" s="10">
        <v>2067</v>
      </c>
    </row>
    <row r="639" spans="2:4" x14ac:dyDescent="0.35">
      <c r="B639" s="15">
        <v>61303</v>
      </c>
      <c r="C639" s="10" t="s">
        <v>13</v>
      </c>
      <c r="D639" s="10">
        <v>2067</v>
      </c>
    </row>
    <row r="640" spans="2:4" x14ac:dyDescent="0.35">
      <c r="B640" s="15">
        <v>61316</v>
      </c>
      <c r="C640" s="10" t="s">
        <v>14</v>
      </c>
      <c r="D640" s="10">
        <v>2067</v>
      </c>
    </row>
    <row r="641" spans="2:4" x14ac:dyDescent="0.35">
      <c r="B641" s="15">
        <v>61356</v>
      </c>
      <c r="C641" s="10" t="s">
        <v>15</v>
      </c>
      <c r="D641" s="10">
        <v>2067</v>
      </c>
    </row>
    <row r="642" spans="2:4" x14ac:dyDescent="0.35">
      <c r="B642" s="15">
        <v>61363</v>
      </c>
      <c r="C642" s="10" t="s">
        <v>10</v>
      </c>
      <c r="D642" s="10">
        <v>2068</v>
      </c>
    </row>
    <row r="643" spans="2:4" x14ac:dyDescent="0.35">
      <c r="B643" s="15">
        <v>61427</v>
      </c>
      <c r="C643" s="10" t="s">
        <v>3</v>
      </c>
      <c r="D643" s="10">
        <v>2068</v>
      </c>
    </row>
    <row r="644" spans="2:4" x14ac:dyDescent="0.35">
      <c r="B644" s="15">
        <v>61428</v>
      </c>
      <c r="C644" s="10" t="s">
        <v>3</v>
      </c>
      <c r="D644" s="10">
        <v>2068</v>
      </c>
    </row>
    <row r="645" spans="2:4" x14ac:dyDescent="0.35">
      <c r="B645" s="15">
        <v>61473</v>
      </c>
      <c r="C645" s="10" t="s">
        <v>16</v>
      </c>
      <c r="D645" s="10">
        <v>2068</v>
      </c>
    </row>
    <row r="646" spans="2:4" x14ac:dyDescent="0.35">
      <c r="B646" s="15">
        <v>61474</v>
      </c>
      <c r="C646" s="10" t="s">
        <v>11</v>
      </c>
      <c r="D646" s="10">
        <v>2068</v>
      </c>
    </row>
    <row r="647" spans="2:4" x14ac:dyDescent="0.35">
      <c r="B647" s="15">
        <v>61475</v>
      </c>
      <c r="C647" s="10" t="s">
        <v>17</v>
      </c>
      <c r="D647" s="10">
        <v>2068</v>
      </c>
    </row>
    <row r="648" spans="2:4" x14ac:dyDescent="0.35">
      <c r="B648" s="15">
        <v>61484</v>
      </c>
      <c r="C648" s="10" t="s">
        <v>12</v>
      </c>
      <c r="D648" s="10">
        <v>2068</v>
      </c>
    </row>
    <row r="649" spans="2:4" x14ac:dyDescent="0.35">
      <c r="B649" s="15">
        <v>61535</v>
      </c>
      <c r="C649" s="10" t="s">
        <v>18</v>
      </c>
      <c r="D649" s="10">
        <v>2068</v>
      </c>
    </row>
    <row r="650" spans="2:4" x14ac:dyDescent="0.35">
      <c r="B650" s="15">
        <v>61613</v>
      </c>
      <c r="C650" s="10" t="s">
        <v>19</v>
      </c>
      <c r="D650" s="10">
        <v>2068</v>
      </c>
    </row>
    <row r="651" spans="2:4" x14ac:dyDescent="0.35">
      <c r="B651" s="15">
        <v>61648</v>
      </c>
      <c r="C651" s="10" t="s">
        <v>20</v>
      </c>
      <c r="D651" s="10">
        <v>2068</v>
      </c>
    </row>
    <row r="652" spans="2:4" x14ac:dyDescent="0.35">
      <c r="B652" s="15">
        <v>61669</v>
      </c>
      <c r="C652" s="10" t="s">
        <v>13</v>
      </c>
      <c r="D652" s="10">
        <v>2068</v>
      </c>
    </row>
    <row r="653" spans="2:4" x14ac:dyDescent="0.35">
      <c r="B653" s="15">
        <v>61682</v>
      </c>
      <c r="C653" s="10" t="s">
        <v>14</v>
      </c>
      <c r="D653" s="10">
        <v>2068</v>
      </c>
    </row>
    <row r="654" spans="2:4" x14ac:dyDescent="0.35">
      <c r="B654" s="15">
        <v>61722</v>
      </c>
      <c r="C654" s="10" t="s">
        <v>15</v>
      </c>
      <c r="D654" s="10">
        <v>2068</v>
      </c>
    </row>
    <row r="655" spans="2:4" x14ac:dyDescent="0.35">
      <c r="B655" s="15">
        <v>61729</v>
      </c>
      <c r="C655" s="10" t="s">
        <v>10</v>
      </c>
      <c r="D655" s="10">
        <v>2069</v>
      </c>
    </row>
    <row r="656" spans="2:4" x14ac:dyDescent="0.35">
      <c r="B656" s="15">
        <v>61784</v>
      </c>
      <c r="C656" s="10" t="s">
        <v>3</v>
      </c>
      <c r="D656" s="10">
        <v>2069</v>
      </c>
    </row>
    <row r="657" spans="2:4" x14ac:dyDescent="0.35">
      <c r="B657" s="15">
        <v>61785</v>
      </c>
      <c r="C657" s="10" t="s">
        <v>3</v>
      </c>
      <c r="D657" s="10">
        <v>2069</v>
      </c>
    </row>
    <row r="658" spans="2:4" x14ac:dyDescent="0.35">
      <c r="B658" s="15">
        <v>61830</v>
      </c>
      <c r="C658" s="10" t="s">
        <v>16</v>
      </c>
      <c r="D658" s="10">
        <v>2069</v>
      </c>
    </row>
    <row r="659" spans="2:4" x14ac:dyDescent="0.35">
      <c r="B659" s="15">
        <v>61839</v>
      </c>
      <c r="C659" s="10" t="s">
        <v>11</v>
      </c>
      <c r="D659" s="10">
        <v>2069</v>
      </c>
    </row>
    <row r="660" spans="2:4" x14ac:dyDescent="0.35">
      <c r="B660" s="15">
        <v>61832</v>
      </c>
      <c r="C660" s="10" t="s">
        <v>17</v>
      </c>
      <c r="D660" s="10">
        <v>2069</v>
      </c>
    </row>
    <row r="661" spans="2:4" x14ac:dyDescent="0.35">
      <c r="B661" s="15">
        <v>61849</v>
      </c>
      <c r="C661" s="10" t="s">
        <v>12</v>
      </c>
      <c r="D661" s="10">
        <v>2069</v>
      </c>
    </row>
    <row r="662" spans="2:4" x14ac:dyDescent="0.35">
      <c r="B662" s="15">
        <v>61892</v>
      </c>
      <c r="C662" s="10" t="s">
        <v>18</v>
      </c>
      <c r="D662" s="10">
        <v>2069</v>
      </c>
    </row>
    <row r="663" spans="2:4" x14ac:dyDescent="0.35">
      <c r="B663" s="15">
        <v>61978</v>
      </c>
      <c r="C663" s="10" t="s">
        <v>19</v>
      </c>
      <c r="D663" s="10">
        <v>2069</v>
      </c>
    </row>
    <row r="664" spans="2:4" x14ac:dyDescent="0.35">
      <c r="B664" s="15">
        <v>62013</v>
      </c>
      <c r="C664" s="10" t="s">
        <v>20</v>
      </c>
      <c r="D664" s="10">
        <v>2069</v>
      </c>
    </row>
    <row r="665" spans="2:4" x14ac:dyDescent="0.35">
      <c r="B665" s="15">
        <v>62034</v>
      </c>
      <c r="C665" s="10" t="s">
        <v>13</v>
      </c>
      <c r="D665" s="10">
        <v>2069</v>
      </c>
    </row>
    <row r="666" spans="2:4" x14ac:dyDescent="0.35">
      <c r="B666" s="15">
        <v>62047</v>
      </c>
      <c r="C666" s="10" t="s">
        <v>14</v>
      </c>
      <c r="D666" s="10">
        <v>2069</v>
      </c>
    </row>
    <row r="667" spans="2:4" x14ac:dyDescent="0.35">
      <c r="B667" s="15">
        <v>62087</v>
      </c>
      <c r="C667" s="10" t="s">
        <v>15</v>
      </c>
      <c r="D667" s="10">
        <v>2069</v>
      </c>
    </row>
    <row r="668" spans="2:4" x14ac:dyDescent="0.35">
      <c r="B668" s="15">
        <v>62094</v>
      </c>
      <c r="C668" s="10" t="s">
        <v>10</v>
      </c>
      <c r="D668" s="10">
        <v>2070</v>
      </c>
    </row>
    <row r="669" spans="2:4" x14ac:dyDescent="0.35">
      <c r="B669" s="15">
        <v>62134</v>
      </c>
      <c r="C669" s="10" t="s">
        <v>3</v>
      </c>
      <c r="D669" s="10">
        <v>2070</v>
      </c>
    </row>
    <row r="670" spans="2:4" x14ac:dyDescent="0.35">
      <c r="B670" s="15">
        <v>62135</v>
      </c>
      <c r="C670" s="10" t="s">
        <v>3</v>
      </c>
      <c r="D670" s="10">
        <v>2070</v>
      </c>
    </row>
    <row r="671" spans="2:4" x14ac:dyDescent="0.35">
      <c r="B671" s="15">
        <v>62180</v>
      </c>
      <c r="C671" s="10" t="s">
        <v>16</v>
      </c>
      <c r="D671" s="10">
        <v>2070</v>
      </c>
    </row>
    <row r="672" spans="2:4" x14ac:dyDescent="0.35">
      <c r="B672" s="15">
        <v>62204</v>
      </c>
      <c r="C672" s="10" t="s">
        <v>11</v>
      </c>
      <c r="D672" s="10">
        <v>2070</v>
      </c>
    </row>
    <row r="673" spans="2:4" x14ac:dyDescent="0.35">
      <c r="B673" s="15">
        <v>62182</v>
      </c>
      <c r="C673" s="10" t="s">
        <v>17</v>
      </c>
      <c r="D673" s="10">
        <v>2070</v>
      </c>
    </row>
    <row r="674" spans="2:4" x14ac:dyDescent="0.35">
      <c r="B674" s="15">
        <v>62214</v>
      </c>
      <c r="C674" s="10" t="s">
        <v>12</v>
      </c>
      <c r="D674" s="10">
        <v>2070</v>
      </c>
    </row>
    <row r="675" spans="2:4" x14ac:dyDescent="0.35">
      <c r="B675" s="15">
        <v>62242</v>
      </c>
      <c r="C675" s="10" t="s">
        <v>18</v>
      </c>
      <c r="D675" s="10">
        <v>2070</v>
      </c>
    </row>
    <row r="676" spans="2:4" x14ac:dyDescent="0.35">
      <c r="B676" s="15">
        <v>62343</v>
      </c>
      <c r="C676" s="10" t="s">
        <v>19</v>
      </c>
      <c r="D676" s="10">
        <v>2070</v>
      </c>
    </row>
    <row r="677" spans="2:4" x14ac:dyDescent="0.35">
      <c r="B677" s="15">
        <v>62378</v>
      </c>
      <c r="C677" s="10" t="s">
        <v>20</v>
      </c>
      <c r="D677" s="10">
        <v>2070</v>
      </c>
    </row>
    <row r="678" spans="2:4" x14ac:dyDescent="0.35">
      <c r="B678" s="15">
        <v>62399</v>
      </c>
      <c r="C678" s="10" t="s">
        <v>13</v>
      </c>
      <c r="D678" s="10">
        <v>2070</v>
      </c>
    </row>
    <row r="679" spans="2:4" x14ac:dyDescent="0.35">
      <c r="B679" s="15">
        <v>62412</v>
      </c>
      <c r="C679" s="10" t="s">
        <v>14</v>
      </c>
      <c r="D679" s="10">
        <v>2070</v>
      </c>
    </row>
    <row r="680" spans="2:4" x14ac:dyDescent="0.35">
      <c r="B680" s="15">
        <v>62452</v>
      </c>
      <c r="C680" s="10" t="s">
        <v>15</v>
      </c>
      <c r="D680" s="10">
        <v>2070</v>
      </c>
    </row>
    <row r="681" spans="2:4" x14ac:dyDescent="0.35">
      <c r="B681" s="15">
        <v>62459</v>
      </c>
      <c r="C681" s="10" t="s">
        <v>10</v>
      </c>
      <c r="D681" s="10">
        <v>2071</v>
      </c>
    </row>
    <row r="682" spans="2:4" x14ac:dyDescent="0.35">
      <c r="B682" s="15">
        <v>62519</v>
      </c>
      <c r="C682" s="10" t="s">
        <v>3</v>
      </c>
      <c r="D682" s="10">
        <v>2071</v>
      </c>
    </row>
    <row r="683" spans="2:4" x14ac:dyDescent="0.35">
      <c r="B683" s="15">
        <v>62520</v>
      </c>
      <c r="C683" s="10" t="s">
        <v>3</v>
      </c>
      <c r="D683" s="10">
        <v>2071</v>
      </c>
    </row>
    <row r="684" spans="2:4" x14ac:dyDescent="0.35">
      <c r="B684" s="15">
        <v>62565</v>
      </c>
      <c r="C684" s="10" t="s">
        <v>16</v>
      </c>
      <c r="D684" s="10">
        <v>2071</v>
      </c>
    </row>
    <row r="685" spans="2:4" x14ac:dyDescent="0.35">
      <c r="B685" s="15">
        <v>62569</v>
      </c>
      <c r="C685" s="10" t="s">
        <v>11</v>
      </c>
      <c r="D685" s="10">
        <v>2071</v>
      </c>
    </row>
    <row r="686" spans="2:4" x14ac:dyDescent="0.35">
      <c r="B686" s="15">
        <v>62567</v>
      </c>
      <c r="C686" s="10" t="s">
        <v>17</v>
      </c>
      <c r="D686" s="10">
        <v>2071</v>
      </c>
    </row>
    <row r="687" spans="2:4" x14ac:dyDescent="0.35">
      <c r="B687" s="15">
        <v>62579</v>
      </c>
      <c r="C687" s="10" t="s">
        <v>12</v>
      </c>
      <c r="D687" s="10">
        <v>2071</v>
      </c>
    </row>
    <row r="688" spans="2:4" x14ac:dyDescent="0.35">
      <c r="B688" s="15">
        <v>62627</v>
      </c>
      <c r="C688" s="10" t="s">
        <v>18</v>
      </c>
      <c r="D688" s="10">
        <v>2071</v>
      </c>
    </row>
    <row r="689" spans="2:4" x14ac:dyDescent="0.35">
      <c r="B689" s="15">
        <v>62708</v>
      </c>
      <c r="C689" s="10" t="s">
        <v>19</v>
      </c>
      <c r="D689" s="10">
        <v>2071</v>
      </c>
    </row>
    <row r="690" spans="2:4" x14ac:dyDescent="0.35">
      <c r="B690" s="15">
        <v>62743</v>
      </c>
      <c r="C690" s="10" t="s">
        <v>20</v>
      </c>
      <c r="D690" s="10">
        <v>2071</v>
      </c>
    </row>
    <row r="691" spans="2:4" x14ac:dyDescent="0.35">
      <c r="B691" s="15">
        <v>62764</v>
      </c>
      <c r="C691" s="10" t="s">
        <v>13</v>
      </c>
      <c r="D691" s="10">
        <v>2071</v>
      </c>
    </row>
    <row r="692" spans="2:4" x14ac:dyDescent="0.35">
      <c r="B692" s="15">
        <v>62777</v>
      </c>
      <c r="C692" s="10" t="s">
        <v>14</v>
      </c>
      <c r="D692" s="10">
        <v>2071</v>
      </c>
    </row>
    <row r="693" spans="2:4" x14ac:dyDescent="0.35">
      <c r="B693" s="15">
        <v>62817</v>
      </c>
      <c r="C693" s="10" t="s">
        <v>15</v>
      </c>
      <c r="D693" s="10">
        <v>2071</v>
      </c>
    </row>
    <row r="694" spans="2:4" x14ac:dyDescent="0.35">
      <c r="B694" s="15">
        <v>62824</v>
      </c>
      <c r="C694" s="10" t="s">
        <v>10</v>
      </c>
      <c r="D694" s="10">
        <v>2072</v>
      </c>
    </row>
    <row r="695" spans="2:4" x14ac:dyDescent="0.35">
      <c r="B695" s="15">
        <v>62876</v>
      </c>
      <c r="C695" s="10" t="s">
        <v>3</v>
      </c>
      <c r="D695" s="10">
        <v>2072</v>
      </c>
    </row>
    <row r="696" spans="2:4" x14ac:dyDescent="0.35">
      <c r="B696" s="15">
        <v>62877</v>
      </c>
      <c r="C696" s="10" t="s">
        <v>3</v>
      </c>
      <c r="D696" s="10">
        <v>2072</v>
      </c>
    </row>
    <row r="697" spans="2:4" x14ac:dyDescent="0.35">
      <c r="B697" s="15">
        <v>62922</v>
      </c>
      <c r="C697" s="10" t="s">
        <v>16</v>
      </c>
      <c r="D697" s="10">
        <v>2072</v>
      </c>
    </row>
    <row r="698" spans="2:4" x14ac:dyDescent="0.35">
      <c r="B698" s="15">
        <v>62935</v>
      </c>
      <c r="C698" s="10" t="s">
        <v>11</v>
      </c>
      <c r="D698" s="10">
        <v>2072</v>
      </c>
    </row>
    <row r="699" spans="2:4" x14ac:dyDescent="0.35">
      <c r="B699" s="15">
        <v>62924</v>
      </c>
      <c r="C699" s="10" t="s">
        <v>17</v>
      </c>
      <c r="D699" s="10">
        <v>2072</v>
      </c>
    </row>
    <row r="700" spans="2:4" x14ac:dyDescent="0.35">
      <c r="B700" s="15">
        <v>62945</v>
      </c>
      <c r="C700" s="10" t="s">
        <v>12</v>
      </c>
      <c r="D700" s="10">
        <v>2072</v>
      </c>
    </row>
    <row r="701" spans="2:4" x14ac:dyDescent="0.35">
      <c r="B701" s="15">
        <v>62984</v>
      </c>
      <c r="C701" s="10" t="s">
        <v>18</v>
      </c>
      <c r="D701" s="10">
        <v>2072</v>
      </c>
    </row>
    <row r="702" spans="2:4" x14ac:dyDescent="0.35">
      <c r="B702" s="15">
        <v>63074</v>
      </c>
      <c r="C702" s="10" t="s">
        <v>19</v>
      </c>
      <c r="D702" s="10">
        <v>2072</v>
      </c>
    </row>
    <row r="703" spans="2:4" x14ac:dyDescent="0.35">
      <c r="B703" s="15">
        <v>63109</v>
      </c>
      <c r="C703" s="10" t="s">
        <v>20</v>
      </c>
      <c r="D703" s="10">
        <v>2072</v>
      </c>
    </row>
    <row r="704" spans="2:4" x14ac:dyDescent="0.35">
      <c r="B704" s="15">
        <v>63130</v>
      </c>
      <c r="C704" s="10" t="s">
        <v>13</v>
      </c>
      <c r="D704" s="10">
        <v>2072</v>
      </c>
    </row>
    <row r="705" spans="2:4" x14ac:dyDescent="0.35">
      <c r="B705" s="15">
        <v>63143</v>
      </c>
      <c r="C705" s="10" t="s">
        <v>14</v>
      </c>
      <c r="D705" s="10">
        <v>2072</v>
      </c>
    </row>
    <row r="706" spans="2:4" x14ac:dyDescent="0.35">
      <c r="B706" s="15">
        <v>63183</v>
      </c>
      <c r="C706" s="10" t="s">
        <v>15</v>
      </c>
      <c r="D706" s="10">
        <v>2072</v>
      </c>
    </row>
    <row r="707" spans="2:4" x14ac:dyDescent="0.35">
      <c r="B707" s="15">
        <v>63190</v>
      </c>
      <c r="C707" s="10" t="s">
        <v>10</v>
      </c>
      <c r="D707" s="10">
        <v>2073</v>
      </c>
    </row>
    <row r="708" spans="2:4" x14ac:dyDescent="0.35">
      <c r="B708" s="15">
        <v>63226</v>
      </c>
      <c r="C708" s="10" t="s">
        <v>3</v>
      </c>
      <c r="D708" s="10">
        <v>2073</v>
      </c>
    </row>
    <row r="709" spans="2:4" x14ac:dyDescent="0.35">
      <c r="B709" s="15">
        <v>63227</v>
      </c>
      <c r="C709" s="10" t="s">
        <v>3</v>
      </c>
      <c r="D709" s="10">
        <v>2073</v>
      </c>
    </row>
    <row r="710" spans="2:4" x14ac:dyDescent="0.35">
      <c r="B710" s="15">
        <v>63272</v>
      </c>
      <c r="C710" s="10" t="s">
        <v>16</v>
      </c>
      <c r="D710" s="10">
        <v>2073</v>
      </c>
    </row>
    <row r="711" spans="2:4" x14ac:dyDescent="0.35">
      <c r="B711" s="15">
        <v>63300</v>
      </c>
      <c r="C711" s="10" t="s">
        <v>11</v>
      </c>
      <c r="D711" s="10">
        <v>2073</v>
      </c>
    </row>
    <row r="712" spans="2:4" x14ac:dyDescent="0.35">
      <c r="B712" s="15">
        <v>63274</v>
      </c>
      <c r="C712" s="10" t="s">
        <v>17</v>
      </c>
      <c r="D712" s="10">
        <v>2073</v>
      </c>
    </row>
    <row r="713" spans="2:4" x14ac:dyDescent="0.35">
      <c r="B713" s="15">
        <v>63310</v>
      </c>
      <c r="C713" s="10" t="s">
        <v>12</v>
      </c>
      <c r="D713" s="10">
        <v>2073</v>
      </c>
    </row>
    <row r="714" spans="2:4" x14ac:dyDescent="0.35">
      <c r="B714" s="15">
        <v>63334</v>
      </c>
      <c r="C714" s="10" t="s">
        <v>18</v>
      </c>
      <c r="D714" s="10">
        <v>2073</v>
      </c>
    </row>
    <row r="715" spans="2:4" x14ac:dyDescent="0.35">
      <c r="B715" s="15">
        <v>63439</v>
      </c>
      <c r="C715" s="10" t="s">
        <v>19</v>
      </c>
      <c r="D715" s="10">
        <v>2073</v>
      </c>
    </row>
    <row r="716" spans="2:4" x14ac:dyDescent="0.35">
      <c r="B716" s="15">
        <v>63474</v>
      </c>
      <c r="C716" s="10" t="s">
        <v>20</v>
      </c>
      <c r="D716" s="10">
        <v>2073</v>
      </c>
    </row>
    <row r="717" spans="2:4" x14ac:dyDescent="0.35">
      <c r="B717" s="15">
        <v>63495</v>
      </c>
      <c r="C717" s="10" t="s">
        <v>13</v>
      </c>
      <c r="D717" s="10">
        <v>2073</v>
      </c>
    </row>
    <row r="718" spans="2:4" x14ac:dyDescent="0.35">
      <c r="B718" s="15">
        <v>63508</v>
      </c>
      <c r="C718" s="10" t="s">
        <v>14</v>
      </c>
      <c r="D718" s="10">
        <v>2073</v>
      </c>
    </row>
    <row r="719" spans="2:4" x14ac:dyDescent="0.35">
      <c r="B719" s="15">
        <v>63548</v>
      </c>
      <c r="C719" s="10" t="s">
        <v>15</v>
      </c>
      <c r="D719" s="10">
        <v>2073</v>
      </c>
    </row>
    <row r="720" spans="2:4" x14ac:dyDescent="0.35">
      <c r="B720" s="15">
        <v>63555</v>
      </c>
      <c r="C720" s="10" t="s">
        <v>10</v>
      </c>
      <c r="D720" s="10">
        <v>2074</v>
      </c>
    </row>
    <row r="721" spans="2:4" x14ac:dyDescent="0.35">
      <c r="B721" s="15">
        <v>63611</v>
      </c>
      <c r="C721" s="10" t="s">
        <v>3</v>
      </c>
      <c r="D721" s="10">
        <v>2074</v>
      </c>
    </row>
    <row r="722" spans="2:4" x14ac:dyDescent="0.35">
      <c r="B722" s="15">
        <v>63612</v>
      </c>
      <c r="C722" s="10" t="s">
        <v>3</v>
      </c>
      <c r="D722" s="10">
        <v>2074</v>
      </c>
    </row>
    <row r="723" spans="2:4" x14ac:dyDescent="0.35">
      <c r="B723" s="15">
        <v>63657</v>
      </c>
      <c r="C723" s="10" t="s">
        <v>16</v>
      </c>
      <c r="D723" s="10">
        <v>2074</v>
      </c>
    </row>
    <row r="724" spans="2:4" x14ac:dyDescent="0.35">
      <c r="B724" s="15">
        <v>63665</v>
      </c>
      <c r="C724" s="10" t="s">
        <v>11</v>
      </c>
      <c r="D724" s="10">
        <v>2074</v>
      </c>
    </row>
    <row r="725" spans="2:4" x14ac:dyDescent="0.35">
      <c r="B725" s="15">
        <v>63659</v>
      </c>
      <c r="C725" s="10" t="s">
        <v>17</v>
      </c>
      <c r="D725" s="10">
        <v>2074</v>
      </c>
    </row>
    <row r="726" spans="2:4" x14ac:dyDescent="0.35">
      <c r="B726" s="15">
        <v>63675</v>
      </c>
      <c r="C726" s="10" t="s">
        <v>12</v>
      </c>
      <c r="D726" s="10">
        <v>2074</v>
      </c>
    </row>
    <row r="727" spans="2:4" x14ac:dyDescent="0.35">
      <c r="B727" s="15">
        <v>63719</v>
      </c>
      <c r="C727" s="10" t="s">
        <v>18</v>
      </c>
      <c r="D727" s="10">
        <v>2074</v>
      </c>
    </row>
    <row r="728" spans="2:4" x14ac:dyDescent="0.35">
      <c r="B728" s="15">
        <v>63804</v>
      </c>
      <c r="C728" s="10" t="s">
        <v>19</v>
      </c>
      <c r="D728" s="10">
        <v>2074</v>
      </c>
    </row>
    <row r="729" spans="2:4" x14ac:dyDescent="0.35">
      <c r="B729" s="15">
        <v>63839</v>
      </c>
      <c r="C729" s="10" t="s">
        <v>20</v>
      </c>
      <c r="D729" s="10">
        <v>2074</v>
      </c>
    </row>
    <row r="730" spans="2:4" x14ac:dyDescent="0.35">
      <c r="B730" s="15">
        <v>63860</v>
      </c>
      <c r="C730" s="10" t="s">
        <v>13</v>
      </c>
      <c r="D730" s="10">
        <v>2074</v>
      </c>
    </row>
    <row r="731" spans="2:4" x14ac:dyDescent="0.35">
      <c r="B731" s="15">
        <v>63873</v>
      </c>
      <c r="C731" s="10" t="s">
        <v>14</v>
      </c>
      <c r="D731" s="10">
        <v>2074</v>
      </c>
    </row>
    <row r="732" spans="2:4" x14ac:dyDescent="0.35">
      <c r="B732" s="15">
        <v>63913</v>
      </c>
      <c r="C732" s="10" t="s">
        <v>15</v>
      </c>
      <c r="D732" s="10">
        <v>2074</v>
      </c>
    </row>
    <row r="733" spans="2:4" x14ac:dyDescent="0.35">
      <c r="B733" s="15">
        <v>63920</v>
      </c>
      <c r="C733" s="10" t="s">
        <v>10</v>
      </c>
      <c r="D733" s="10">
        <v>2075</v>
      </c>
    </row>
    <row r="734" spans="2:4" x14ac:dyDescent="0.35">
      <c r="B734" s="15">
        <v>63968</v>
      </c>
      <c r="C734" s="10" t="s">
        <v>3</v>
      </c>
      <c r="D734" s="10">
        <v>2075</v>
      </c>
    </row>
    <row r="735" spans="2:4" x14ac:dyDescent="0.35">
      <c r="B735" s="15">
        <v>63969</v>
      </c>
      <c r="C735" s="10" t="s">
        <v>3</v>
      </c>
      <c r="D735" s="10">
        <v>2075</v>
      </c>
    </row>
    <row r="736" spans="2:4" x14ac:dyDescent="0.35">
      <c r="B736" s="15">
        <v>64014</v>
      </c>
      <c r="C736" s="10" t="s">
        <v>16</v>
      </c>
      <c r="D736" s="10">
        <v>2075</v>
      </c>
    </row>
    <row r="737" spans="2:4" x14ac:dyDescent="0.35">
      <c r="B737" s="15">
        <v>64030</v>
      </c>
      <c r="C737" s="10" t="s">
        <v>11</v>
      </c>
      <c r="D737" s="10">
        <v>2075</v>
      </c>
    </row>
    <row r="738" spans="2:4" x14ac:dyDescent="0.35">
      <c r="B738" s="15">
        <v>64016</v>
      </c>
      <c r="C738" s="10" t="s">
        <v>17</v>
      </c>
      <c r="D738" s="10">
        <v>2075</v>
      </c>
    </row>
    <row r="739" spans="2:4" x14ac:dyDescent="0.35">
      <c r="B739" s="15">
        <v>64040</v>
      </c>
      <c r="C739" s="10" t="s">
        <v>12</v>
      </c>
      <c r="D739" s="10">
        <v>2075</v>
      </c>
    </row>
    <row r="740" spans="2:4" x14ac:dyDescent="0.35">
      <c r="B740" s="15">
        <v>64076</v>
      </c>
      <c r="C740" s="10" t="s">
        <v>18</v>
      </c>
      <c r="D740" s="10">
        <v>2075</v>
      </c>
    </row>
    <row r="741" spans="2:4" x14ac:dyDescent="0.35">
      <c r="B741" s="15">
        <v>64169</v>
      </c>
      <c r="C741" s="10" t="s">
        <v>19</v>
      </c>
      <c r="D741" s="10">
        <v>2075</v>
      </c>
    </row>
    <row r="742" spans="2:4" x14ac:dyDescent="0.35">
      <c r="B742" s="15">
        <v>64204</v>
      </c>
      <c r="C742" s="10" t="s">
        <v>20</v>
      </c>
      <c r="D742" s="10">
        <v>2075</v>
      </c>
    </row>
    <row r="743" spans="2:4" x14ac:dyDescent="0.35">
      <c r="B743" s="15">
        <v>64225</v>
      </c>
      <c r="C743" s="10" t="s">
        <v>13</v>
      </c>
      <c r="D743" s="10">
        <v>2075</v>
      </c>
    </row>
    <row r="744" spans="2:4" x14ac:dyDescent="0.35">
      <c r="B744" s="15">
        <v>64238</v>
      </c>
      <c r="C744" s="10" t="s">
        <v>14</v>
      </c>
      <c r="D744" s="10">
        <v>2075</v>
      </c>
    </row>
    <row r="745" spans="2:4" x14ac:dyDescent="0.35">
      <c r="B745" s="15">
        <v>64278</v>
      </c>
      <c r="C745" s="10" t="s">
        <v>15</v>
      </c>
      <c r="D745" s="10">
        <v>2075</v>
      </c>
    </row>
    <row r="746" spans="2:4" x14ac:dyDescent="0.35">
      <c r="B746" s="15">
        <v>64285</v>
      </c>
      <c r="C746" s="10" t="s">
        <v>10</v>
      </c>
      <c r="D746" s="10">
        <v>2076</v>
      </c>
    </row>
    <row r="747" spans="2:4" x14ac:dyDescent="0.35">
      <c r="B747" s="15">
        <v>64346</v>
      </c>
      <c r="C747" s="10" t="s">
        <v>3</v>
      </c>
      <c r="D747" s="10">
        <v>2076</v>
      </c>
    </row>
    <row r="748" spans="2:4" x14ac:dyDescent="0.35">
      <c r="B748" s="15">
        <v>64347</v>
      </c>
      <c r="C748" s="10" t="s">
        <v>3</v>
      </c>
      <c r="D748" s="10">
        <v>2076</v>
      </c>
    </row>
    <row r="749" spans="2:4" x14ac:dyDescent="0.35">
      <c r="B749" s="15">
        <v>64392</v>
      </c>
      <c r="C749" s="10" t="s">
        <v>16</v>
      </c>
      <c r="D749" s="10">
        <v>2076</v>
      </c>
    </row>
    <row r="750" spans="2:4" x14ac:dyDescent="0.35">
      <c r="B750" s="15">
        <v>64396</v>
      </c>
      <c r="C750" s="10" t="s">
        <v>11</v>
      </c>
      <c r="D750" s="10">
        <v>2076</v>
      </c>
    </row>
    <row r="751" spans="2:4" x14ac:dyDescent="0.35">
      <c r="B751" s="15">
        <v>64394</v>
      </c>
      <c r="C751" s="10" t="s">
        <v>17</v>
      </c>
      <c r="D751" s="10">
        <v>2076</v>
      </c>
    </row>
    <row r="752" spans="2:4" x14ac:dyDescent="0.35">
      <c r="B752" s="15">
        <v>64406</v>
      </c>
      <c r="C752" s="10" t="s">
        <v>12</v>
      </c>
      <c r="D752" s="10">
        <v>2076</v>
      </c>
    </row>
    <row r="753" spans="2:4" x14ac:dyDescent="0.35">
      <c r="B753" s="15">
        <v>64454</v>
      </c>
      <c r="C753" s="10" t="s">
        <v>18</v>
      </c>
      <c r="D753" s="10">
        <v>2076</v>
      </c>
    </row>
    <row r="754" spans="2:4" x14ac:dyDescent="0.35">
      <c r="B754" s="15">
        <v>64535</v>
      </c>
      <c r="C754" s="10" t="s">
        <v>19</v>
      </c>
      <c r="D754" s="10">
        <v>2076</v>
      </c>
    </row>
    <row r="755" spans="2:4" x14ac:dyDescent="0.35">
      <c r="B755" s="15">
        <v>64570</v>
      </c>
      <c r="C755" s="10" t="s">
        <v>20</v>
      </c>
      <c r="D755" s="10">
        <v>2076</v>
      </c>
    </row>
    <row r="756" spans="2:4" x14ac:dyDescent="0.35">
      <c r="B756" s="15">
        <v>64591</v>
      </c>
      <c r="C756" s="10" t="s">
        <v>13</v>
      </c>
      <c r="D756" s="10">
        <v>2076</v>
      </c>
    </row>
    <row r="757" spans="2:4" x14ac:dyDescent="0.35">
      <c r="B757" s="15">
        <v>64604</v>
      </c>
      <c r="C757" s="10" t="s">
        <v>14</v>
      </c>
      <c r="D757" s="10">
        <v>2076</v>
      </c>
    </row>
    <row r="758" spans="2:4" x14ac:dyDescent="0.35">
      <c r="B758" s="15">
        <v>64644</v>
      </c>
      <c r="C758" s="10" t="s">
        <v>15</v>
      </c>
      <c r="D758" s="10">
        <v>2076</v>
      </c>
    </row>
    <row r="759" spans="2:4" x14ac:dyDescent="0.35">
      <c r="B759" s="15">
        <v>64651</v>
      </c>
      <c r="C759" s="10" t="s">
        <v>10</v>
      </c>
      <c r="D759" s="10">
        <v>2077</v>
      </c>
    </row>
    <row r="760" spans="2:4" x14ac:dyDescent="0.35">
      <c r="B760" s="15">
        <v>64703</v>
      </c>
      <c r="C760" s="10" t="s">
        <v>3</v>
      </c>
      <c r="D760" s="10">
        <v>2077</v>
      </c>
    </row>
    <row r="761" spans="2:4" x14ac:dyDescent="0.35">
      <c r="B761" s="15">
        <v>64704</v>
      </c>
      <c r="C761" s="10" t="s">
        <v>3</v>
      </c>
      <c r="D761" s="10">
        <v>2077</v>
      </c>
    </row>
    <row r="762" spans="2:4" x14ac:dyDescent="0.35">
      <c r="B762" s="15">
        <v>64749</v>
      </c>
      <c r="C762" s="10" t="s">
        <v>16</v>
      </c>
      <c r="D762" s="10">
        <v>2077</v>
      </c>
    </row>
    <row r="763" spans="2:4" x14ac:dyDescent="0.35">
      <c r="B763" s="15">
        <v>64761</v>
      </c>
      <c r="C763" s="10" t="s">
        <v>11</v>
      </c>
      <c r="D763" s="10">
        <v>2077</v>
      </c>
    </row>
    <row r="764" spans="2:4" x14ac:dyDescent="0.35">
      <c r="B764" s="15">
        <v>64751</v>
      </c>
      <c r="C764" s="10" t="s">
        <v>17</v>
      </c>
      <c r="D764" s="10">
        <v>2077</v>
      </c>
    </row>
    <row r="765" spans="2:4" x14ac:dyDescent="0.35">
      <c r="B765" s="15">
        <v>64771</v>
      </c>
      <c r="C765" s="10" t="s">
        <v>12</v>
      </c>
      <c r="D765" s="10">
        <v>2077</v>
      </c>
    </row>
    <row r="766" spans="2:4" x14ac:dyDescent="0.35">
      <c r="B766" s="15">
        <v>64811</v>
      </c>
      <c r="C766" s="10" t="s">
        <v>18</v>
      </c>
      <c r="D766" s="10">
        <v>2077</v>
      </c>
    </row>
    <row r="767" spans="2:4" x14ac:dyDescent="0.35">
      <c r="B767" s="15">
        <v>64900</v>
      </c>
      <c r="C767" s="10" t="s">
        <v>19</v>
      </c>
      <c r="D767" s="10">
        <v>2077</v>
      </c>
    </row>
    <row r="768" spans="2:4" x14ac:dyDescent="0.35">
      <c r="B768" s="15">
        <v>64935</v>
      </c>
      <c r="C768" s="10" t="s">
        <v>20</v>
      </c>
      <c r="D768" s="10">
        <v>2077</v>
      </c>
    </row>
    <row r="769" spans="2:4" x14ac:dyDescent="0.35">
      <c r="B769" s="15">
        <v>64956</v>
      </c>
      <c r="C769" s="10" t="s">
        <v>13</v>
      </c>
      <c r="D769" s="10">
        <v>2077</v>
      </c>
    </row>
    <row r="770" spans="2:4" x14ac:dyDescent="0.35">
      <c r="B770" s="15">
        <v>64969</v>
      </c>
      <c r="C770" s="10" t="s">
        <v>14</v>
      </c>
      <c r="D770" s="10">
        <v>2077</v>
      </c>
    </row>
    <row r="771" spans="2:4" x14ac:dyDescent="0.35">
      <c r="B771" s="15">
        <v>65009</v>
      </c>
      <c r="C771" s="10" t="s">
        <v>15</v>
      </c>
      <c r="D771" s="10">
        <v>2077</v>
      </c>
    </row>
    <row r="772" spans="2:4" x14ac:dyDescent="0.35">
      <c r="B772" s="15">
        <v>65016</v>
      </c>
      <c r="C772" s="10" t="s">
        <v>10</v>
      </c>
      <c r="D772" s="10">
        <v>2078</v>
      </c>
    </row>
    <row r="773" spans="2:4" x14ac:dyDescent="0.35">
      <c r="B773" s="15">
        <v>65060</v>
      </c>
      <c r="C773" s="10" t="s">
        <v>3</v>
      </c>
      <c r="D773" s="10">
        <v>2078</v>
      </c>
    </row>
    <row r="774" spans="2:4" x14ac:dyDescent="0.35">
      <c r="B774" s="15">
        <v>65061</v>
      </c>
      <c r="C774" s="10" t="s">
        <v>3</v>
      </c>
      <c r="D774" s="10">
        <v>2078</v>
      </c>
    </row>
    <row r="775" spans="2:4" x14ac:dyDescent="0.35">
      <c r="B775" s="15">
        <v>65106</v>
      </c>
      <c r="C775" s="10" t="s">
        <v>16</v>
      </c>
      <c r="D775" s="10">
        <v>2078</v>
      </c>
    </row>
    <row r="776" spans="2:4" x14ac:dyDescent="0.35">
      <c r="B776" s="15">
        <v>65126</v>
      </c>
      <c r="C776" s="10" t="s">
        <v>11</v>
      </c>
      <c r="D776" s="10">
        <v>2078</v>
      </c>
    </row>
    <row r="777" spans="2:4" x14ac:dyDescent="0.35">
      <c r="B777" s="15">
        <v>65108</v>
      </c>
      <c r="C777" s="10" t="s">
        <v>17</v>
      </c>
      <c r="D777" s="10">
        <v>2078</v>
      </c>
    </row>
    <row r="778" spans="2:4" x14ac:dyDescent="0.35">
      <c r="B778" s="15">
        <v>65136</v>
      </c>
      <c r="C778" s="10" t="s">
        <v>12</v>
      </c>
      <c r="D778" s="10">
        <v>2078</v>
      </c>
    </row>
    <row r="779" spans="2:4" x14ac:dyDescent="0.35">
      <c r="B779" s="15">
        <v>65168</v>
      </c>
      <c r="C779" s="10" t="s">
        <v>18</v>
      </c>
      <c r="D779" s="10">
        <v>2078</v>
      </c>
    </row>
    <row r="780" spans="2:4" x14ac:dyDescent="0.35">
      <c r="B780" s="15">
        <v>65265</v>
      </c>
      <c r="C780" s="10" t="s">
        <v>19</v>
      </c>
      <c r="D780" s="10">
        <v>2078</v>
      </c>
    </row>
    <row r="781" spans="2:4" x14ac:dyDescent="0.35">
      <c r="B781" s="15">
        <v>65300</v>
      </c>
      <c r="C781" s="10" t="s">
        <v>20</v>
      </c>
      <c r="D781" s="10">
        <v>2078</v>
      </c>
    </row>
    <row r="782" spans="2:4" x14ac:dyDescent="0.35">
      <c r="B782" s="15">
        <v>65321</v>
      </c>
      <c r="C782" s="10" t="s">
        <v>13</v>
      </c>
      <c r="D782" s="10">
        <v>2078</v>
      </c>
    </row>
    <row r="783" spans="2:4" x14ac:dyDescent="0.35">
      <c r="B783" s="15">
        <v>65334</v>
      </c>
      <c r="C783" s="10" t="s">
        <v>14</v>
      </c>
      <c r="D783" s="10">
        <v>2078</v>
      </c>
    </row>
    <row r="784" spans="2:4" x14ac:dyDescent="0.35">
      <c r="B784" s="15">
        <v>65374</v>
      </c>
      <c r="C784" s="10" t="s">
        <v>15</v>
      </c>
      <c r="D784" s="10">
        <v>2078</v>
      </c>
    </row>
    <row r="785" spans="2:4" x14ac:dyDescent="0.35">
      <c r="B785" s="15">
        <v>65381</v>
      </c>
      <c r="C785" s="10" t="s">
        <v>10</v>
      </c>
      <c r="D785" s="10">
        <v>2079</v>
      </c>
    </row>
    <row r="786" spans="2:4" x14ac:dyDescent="0.35">
      <c r="B786" s="15">
        <v>65438</v>
      </c>
      <c r="C786" s="10" t="s">
        <v>3</v>
      </c>
      <c r="D786" s="10">
        <v>2079</v>
      </c>
    </row>
    <row r="787" spans="2:4" x14ac:dyDescent="0.35">
      <c r="B787" s="15">
        <v>65439</v>
      </c>
      <c r="C787" s="10" t="s">
        <v>3</v>
      </c>
      <c r="D787" s="10">
        <v>2079</v>
      </c>
    </row>
    <row r="788" spans="2:4" x14ac:dyDescent="0.35">
      <c r="B788" s="15">
        <v>65484</v>
      </c>
      <c r="C788" s="10" t="s">
        <v>16</v>
      </c>
      <c r="D788" s="10">
        <v>2079</v>
      </c>
    </row>
    <row r="789" spans="2:4" x14ac:dyDescent="0.35">
      <c r="B789" s="15">
        <v>65491</v>
      </c>
      <c r="C789" s="10" t="s">
        <v>11</v>
      </c>
      <c r="D789" s="10">
        <v>2079</v>
      </c>
    </row>
    <row r="790" spans="2:4" x14ac:dyDescent="0.35">
      <c r="B790" s="15">
        <v>65486</v>
      </c>
      <c r="C790" s="10" t="s">
        <v>17</v>
      </c>
      <c r="D790" s="10">
        <v>2079</v>
      </c>
    </row>
    <row r="791" spans="2:4" x14ac:dyDescent="0.35">
      <c r="B791" s="15">
        <v>65501</v>
      </c>
      <c r="C791" s="10" t="s">
        <v>12</v>
      </c>
      <c r="D791" s="10">
        <v>2079</v>
      </c>
    </row>
    <row r="792" spans="2:4" x14ac:dyDescent="0.35">
      <c r="B792" s="15">
        <v>65546</v>
      </c>
      <c r="C792" s="10" t="s">
        <v>18</v>
      </c>
      <c r="D792" s="10">
        <v>2079</v>
      </c>
    </row>
    <row r="793" spans="2:4" x14ac:dyDescent="0.35">
      <c r="B793" s="15">
        <v>65630</v>
      </c>
      <c r="C793" s="10" t="s">
        <v>19</v>
      </c>
      <c r="D793" s="10">
        <v>2079</v>
      </c>
    </row>
    <row r="794" spans="2:4" x14ac:dyDescent="0.35">
      <c r="B794" s="15">
        <v>65665</v>
      </c>
      <c r="C794" s="10" t="s">
        <v>20</v>
      </c>
      <c r="D794" s="10">
        <v>2079</v>
      </c>
    </row>
    <row r="795" spans="2:4" x14ac:dyDescent="0.35">
      <c r="B795" s="15">
        <v>65686</v>
      </c>
      <c r="C795" s="10" t="s">
        <v>13</v>
      </c>
      <c r="D795" s="10">
        <v>2079</v>
      </c>
    </row>
    <row r="796" spans="2:4" x14ac:dyDescent="0.35">
      <c r="B796" s="15">
        <v>65699</v>
      </c>
      <c r="C796" s="10" t="s">
        <v>14</v>
      </c>
      <c r="D796" s="10">
        <v>2079</v>
      </c>
    </row>
    <row r="797" spans="2:4" x14ac:dyDescent="0.35">
      <c r="B797" s="15">
        <v>65739</v>
      </c>
      <c r="C797" s="10" t="s">
        <v>15</v>
      </c>
      <c r="D797" s="10">
        <v>2079</v>
      </c>
    </row>
    <row r="798" spans="2:4" x14ac:dyDescent="0.35">
      <c r="B798" s="15">
        <v>65746</v>
      </c>
      <c r="C798" s="10" t="s">
        <v>10</v>
      </c>
      <c r="D798" s="10">
        <v>2080</v>
      </c>
    </row>
    <row r="799" spans="2:4" x14ac:dyDescent="0.35">
      <c r="B799" s="15">
        <v>65795</v>
      </c>
      <c r="C799" s="10" t="s">
        <v>3</v>
      </c>
      <c r="D799" s="10">
        <v>2080</v>
      </c>
    </row>
    <row r="800" spans="2:4" x14ac:dyDescent="0.35">
      <c r="B800" s="15">
        <v>65796</v>
      </c>
      <c r="C800" s="10" t="s">
        <v>3</v>
      </c>
      <c r="D800" s="10">
        <v>2080</v>
      </c>
    </row>
    <row r="801" spans="2:4" x14ac:dyDescent="0.35">
      <c r="B801" s="15">
        <v>65841</v>
      </c>
      <c r="C801" s="10" t="s">
        <v>16</v>
      </c>
      <c r="D801" s="10">
        <v>2080</v>
      </c>
    </row>
    <row r="802" spans="2:4" x14ac:dyDescent="0.35">
      <c r="B802" s="15">
        <v>65857</v>
      </c>
      <c r="C802" s="10" t="s">
        <v>11</v>
      </c>
      <c r="D802" s="10">
        <v>2080</v>
      </c>
    </row>
    <row r="803" spans="2:4" x14ac:dyDescent="0.35">
      <c r="B803" s="15">
        <v>65843</v>
      </c>
      <c r="C803" s="10" t="s">
        <v>17</v>
      </c>
      <c r="D803" s="10">
        <v>2080</v>
      </c>
    </row>
    <row r="804" spans="2:4" x14ac:dyDescent="0.35">
      <c r="B804" s="15">
        <v>65867</v>
      </c>
      <c r="C804" s="10" t="s">
        <v>12</v>
      </c>
      <c r="D804" s="10">
        <v>2080</v>
      </c>
    </row>
    <row r="805" spans="2:4" x14ac:dyDescent="0.35">
      <c r="B805" s="15">
        <v>65903</v>
      </c>
      <c r="C805" s="10" t="s">
        <v>18</v>
      </c>
      <c r="D805" s="10">
        <v>2080</v>
      </c>
    </row>
    <row r="806" spans="2:4" x14ac:dyDescent="0.35">
      <c r="B806" s="15">
        <v>65996</v>
      </c>
      <c r="C806" s="10" t="s">
        <v>19</v>
      </c>
      <c r="D806" s="10">
        <v>2080</v>
      </c>
    </row>
    <row r="807" spans="2:4" x14ac:dyDescent="0.35">
      <c r="B807" s="15">
        <v>66031</v>
      </c>
      <c r="C807" s="10" t="s">
        <v>20</v>
      </c>
      <c r="D807" s="10">
        <v>2080</v>
      </c>
    </row>
    <row r="808" spans="2:4" x14ac:dyDescent="0.35">
      <c r="B808" s="15">
        <v>66052</v>
      </c>
      <c r="C808" s="10" t="s">
        <v>13</v>
      </c>
      <c r="D808" s="10">
        <v>2080</v>
      </c>
    </row>
    <row r="809" spans="2:4" x14ac:dyDescent="0.35">
      <c r="B809" s="15">
        <v>66065</v>
      </c>
      <c r="C809" s="10" t="s">
        <v>14</v>
      </c>
      <c r="D809" s="10">
        <v>2080</v>
      </c>
    </row>
    <row r="810" spans="2:4" x14ac:dyDescent="0.35">
      <c r="B810" s="15">
        <v>66105</v>
      </c>
      <c r="C810" s="10" t="s">
        <v>15</v>
      </c>
      <c r="D810" s="10">
        <v>2080</v>
      </c>
    </row>
    <row r="811" spans="2:4" x14ac:dyDescent="0.35">
      <c r="B811" s="15">
        <v>66112</v>
      </c>
      <c r="C811" s="10" t="s">
        <v>10</v>
      </c>
      <c r="D811" s="10">
        <v>2081</v>
      </c>
    </row>
    <row r="812" spans="2:4" x14ac:dyDescent="0.35">
      <c r="B812" s="15">
        <v>66152</v>
      </c>
      <c r="C812" s="10" t="s">
        <v>3</v>
      </c>
      <c r="D812" s="10">
        <v>2081</v>
      </c>
    </row>
    <row r="813" spans="2:4" x14ac:dyDescent="0.35">
      <c r="B813" s="15">
        <v>66153</v>
      </c>
      <c r="C813" s="10" t="s">
        <v>3</v>
      </c>
      <c r="D813" s="10">
        <v>2081</v>
      </c>
    </row>
    <row r="814" spans="2:4" x14ac:dyDescent="0.35">
      <c r="B814" s="15">
        <v>66198</v>
      </c>
      <c r="C814" s="10" t="s">
        <v>16</v>
      </c>
      <c r="D814" s="10">
        <v>2081</v>
      </c>
    </row>
    <row r="815" spans="2:4" x14ac:dyDescent="0.35">
      <c r="B815" s="15">
        <v>66222</v>
      </c>
      <c r="C815" s="10" t="s">
        <v>11</v>
      </c>
      <c r="D815" s="10">
        <v>2081</v>
      </c>
    </row>
    <row r="816" spans="2:4" x14ac:dyDescent="0.35">
      <c r="B816" s="15">
        <v>66200</v>
      </c>
      <c r="C816" s="10" t="s">
        <v>17</v>
      </c>
      <c r="D816" s="10">
        <v>2081</v>
      </c>
    </row>
    <row r="817" spans="2:4" x14ac:dyDescent="0.35">
      <c r="B817" s="15">
        <v>66232</v>
      </c>
      <c r="C817" s="10" t="s">
        <v>12</v>
      </c>
      <c r="D817" s="10">
        <v>2081</v>
      </c>
    </row>
    <row r="818" spans="2:4" x14ac:dyDescent="0.35">
      <c r="B818" s="15">
        <v>66260</v>
      </c>
      <c r="C818" s="10" t="s">
        <v>18</v>
      </c>
      <c r="D818" s="10">
        <v>2081</v>
      </c>
    </row>
    <row r="819" spans="2:4" x14ac:dyDescent="0.35">
      <c r="B819" s="15">
        <v>66361</v>
      </c>
      <c r="C819" s="10" t="s">
        <v>19</v>
      </c>
      <c r="D819" s="10">
        <v>2081</v>
      </c>
    </row>
    <row r="820" spans="2:4" x14ac:dyDescent="0.35">
      <c r="B820" s="15">
        <v>66396</v>
      </c>
      <c r="C820" s="10" t="s">
        <v>20</v>
      </c>
      <c r="D820" s="10">
        <v>2081</v>
      </c>
    </row>
    <row r="821" spans="2:4" x14ac:dyDescent="0.35">
      <c r="B821" s="15">
        <v>66417</v>
      </c>
      <c r="C821" s="10" t="s">
        <v>13</v>
      </c>
      <c r="D821" s="10">
        <v>2081</v>
      </c>
    </row>
    <row r="822" spans="2:4" x14ac:dyDescent="0.35">
      <c r="B822" s="15">
        <v>66430</v>
      </c>
      <c r="C822" s="10" t="s">
        <v>14</v>
      </c>
      <c r="D822" s="10">
        <v>2081</v>
      </c>
    </row>
    <row r="823" spans="2:4" x14ac:dyDescent="0.35">
      <c r="B823" s="15">
        <v>66470</v>
      </c>
      <c r="C823" s="10" t="s">
        <v>15</v>
      </c>
      <c r="D823" s="10">
        <v>2081</v>
      </c>
    </row>
    <row r="824" spans="2:4" x14ac:dyDescent="0.35">
      <c r="B824" s="15">
        <v>66477</v>
      </c>
      <c r="C824" s="10" t="s">
        <v>10</v>
      </c>
      <c r="D824" s="10">
        <v>2082</v>
      </c>
    </row>
    <row r="825" spans="2:4" x14ac:dyDescent="0.35">
      <c r="B825" s="15">
        <v>66537</v>
      </c>
      <c r="C825" s="10" t="s">
        <v>3</v>
      </c>
      <c r="D825" s="10">
        <v>2082</v>
      </c>
    </row>
    <row r="826" spans="2:4" x14ac:dyDescent="0.35">
      <c r="B826" s="15">
        <v>66538</v>
      </c>
      <c r="C826" s="10" t="s">
        <v>3</v>
      </c>
      <c r="D826" s="10">
        <v>2082</v>
      </c>
    </row>
    <row r="827" spans="2:4" x14ac:dyDescent="0.35">
      <c r="B827" s="15">
        <v>66583</v>
      </c>
      <c r="C827" s="10" t="s">
        <v>16</v>
      </c>
      <c r="D827" s="10">
        <v>2082</v>
      </c>
    </row>
    <row r="828" spans="2:4" x14ac:dyDescent="0.35">
      <c r="B828" s="15">
        <v>66587</v>
      </c>
      <c r="C828" s="10" t="s">
        <v>11</v>
      </c>
      <c r="D828" s="10">
        <v>2082</v>
      </c>
    </row>
    <row r="829" spans="2:4" x14ac:dyDescent="0.35">
      <c r="B829" s="15">
        <v>66585</v>
      </c>
      <c r="C829" s="10" t="s">
        <v>17</v>
      </c>
      <c r="D829" s="10">
        <v>2082</v>
      </c>
    </row>
    <row r="830" spans="2:4" x14ac:dyDescent="0.35">
      <c r="B830" s="15">
        <v>66597</v>
      </c>
      <c r="C830" s="10" t="s">
        <v>12</v>
      </c>
      <c r="D830" s="10">
        <v>2082</v>
      </c>
    </row>
    <row r="831" spans="2:4" x14ac:dyDescent="0.35">
      <c r="B831" s="15">
        <v>66645</v>
      </c>
      <c r="C831" s="10" t="s">
        <v>18</v>
      </c>
      <c r="D831" s="10">
        <v>2082</v>
      </c>
    </row>
    <row r="832" spans="2:4" x14ac:dyDescent="0.35">
      <c r="B832" s="15">
        <v>66726</v>
      </c>
      <c r="C832" s="10" t="s">
        <v>19</v>
      </c>
      <c r="D832" s="10">
        <v>2082</v>
      </c>
    </row>
    <row r="833" spans="2:4" x14ac:dyDescent="0.35">
      <c r="B833" s="15">
        <v>66761</v>
      </c>
      <c r="C833" s="10" t="s">
        <v>20</v>
      </c>
      <c r="D833" s="10">
        <v>2082</v>
      </c>
    </row>
    <row r="834" spans="2:4" x14ac:dyDescent="0.35">
      <c r="B834" s="15">
        <v>66782</v>
      </c>
      <c r="C834" s="10" t="s">
        <v>13</v>
      </c>
      <c r="D834" s="10">
        <v>2082</v>
      </c>
    </row>
    <row r="835" spans="2:4" x14ac:dyDescent="0.35">
      <c r="B835" s="15">
        <v>66795</v>
      </c>
      <c r="C835" s="10" t="s">
        <v>14</v>
      </c>
      <c r="D835" s="10">
        <v>2082</v>
      </c>
    </row>
    <row r="836" spans="2:4" x14ac:dyDescent="0.35">
      <c r="B836" s="15">
        <v>66835</v>
      </c>
      <c r="C836" s="10" t="s">
        <v>15</v>
      </c>
      <c r="D836" s="10">
        <v>2082</v>
      </c>
    </row>
    <row r="837" spans="2:4" x14ac:dyDescent="0.35">
      <c r="B837" s="15">
        <v>66842</v>
      </c>
      <c r="C837" s="10" t="s">
        <v>10</v>
      </c>
      <c r="D837" s="10">
        <v>2083</v>
      </c>
    </row>
    <row r="838" spans="2:4" x14ac:dyDescent="0.35">
      <c r="B838" s="15">
        <v>66887</v>
      </c>
      <c r="C838" s="10" t="s">
        <v>3</v>
      </c>
      <c r="D838" s="10">
        <v>2083</v>
      </c>
    </row>
    <row r="839" spans="2:4" x14ac:dyDescent="0.35">
      <c r="B839" s="15">
        <v>66888</v>
      </c>
      <c r="C839" s="10" t="s">
        <v>3</v>
      </c>
      <c r="D839" s="10">
        <v>2083</v>
      </c>
    </row>
    <row r="840" spans="2:4" x14ac:dyDescent="0.35">
      <c r="B840" s="15">
        <v>66933</v>
      </c>
      <c r="C840" s="10" t="s">
        <v>16</v>
      </c>
      <c r="D840" s="10">
        <v>2083</v>
      </c>
    </row>
    <row r="841" spans="2:4" x14ac:dyDescent="0.35">
      <c r="B841" s="15">
        <v>66952</v>
      </c>
      <c r="C841" s="10" t="s">
        <v>11</v>
      </c>
      <c r="D841" s="10">
        <v>2083</v>
      </c>
    </row>
    <row r="842" spans="2:4" x14ac:dyDescent="0.35">
      <c r="B842" s="15">
        <v>66935</v>
      </c>
      <c r="C842" s="10" t="s">
        <v>17</v>
      </c>
      <c r="D842" s="10">
        <v>2083</v>
      </c>
    </row>
    <row r="843" spans="2:4" x14ac:dyDescent="0.35">
      <c r="B843" s="15">
        <v>66962</v>
      </c>
      <c r="C843" s="10" t="s">
        <v>12</v>
      </c>
      <c r="D843" s="10">
        <v>2083</v>
      </c>
    </row>
    <row r="844" spans="2:4" x14ac:dyDescent="0.35">
      <c r="B844" s="15">
        <v>66995</v>
      </c>
      <c r="C844" s="10" t="s">
        <v>18</v>
      </c>
      <c r="D844" s="10">
        <v>2083</v>
      </c>
    </row>
    <row r="845" spans="2:4" x14ac:dyDescent="0.35">
      <c r="B845" s="15">
        <v>67091</v>
      </c>
      <c r="C845" s="10" t="s">
        <v>19</v>
      </c>
      <c r="D845" s="10">
        <v>2083</v>
      </c>
    </row>
    <row r="846" spans="2:4" x14ac:dyDescent="0.35">
      <c r="B846" s="15">
        <v>67126</v>
      </c>
      <c r="C846" s="10" t="s">
        <v>20</v>
      </c>
      <c r="D846" s="10">
        <v>2083</v>
      </c>
    </row>
    <row r="847" spans="2:4" x14ac:dyDescent="0.35">
      <c r="B847" s="15">
        <v>67147</v>
      </c>
      <c r="C847" s="10" t="s">
        <v>13</v>
      </c>
      <c r="D847" s="10">
        <v>2083</v>
      </c>
    </row>
    <row r="848" spans="2:4" x14ac:dyDescent="0.35">
      <c r="B848" s="15">
        <v>67160</v>
      </c>
      <c r="C848" s="10" t="s">
        <v>14</v>
      </c>
      <c r="D848" s="10">
        <v>2083</v>
      </c>
    </row>
    <row r="849" spans="2:4" x14ac:dyDescent="0.35">
      <c r="B849" s="15">
        <v>67200</v>
      </c>
      <c r="C849" s="10" t="s">
        <v>15</v>
      </c>
      <c r="D849" s="10">
        <v>2083</v>
      </c>
    </row>
    <row r="850" spans="2:4" x14ac:dyDescent="0.35">
      <c r="B850" s="15">
        <v>67207</v>
      </c>
      <c r="C850" s="10" t="s">
        <v>10</v>
      </c>
      <c r="D850" s="10">
        <v>2084</v>
      </c>
    </row>
    <row r="851" spans="2:4" x14ac:dyDescent="0.35">
      <c r="B851" s="15">
        <v>67244</v>
      </c>
      <c r="C851" s="10" t="s">
        <v>3</v>
      </c>
      <c r="D851" s="10">
        <v>2084</v>
      </c>
    </row>
    <row r="852" spans="2:4" x14ac:dyDescent="0.35">
      <c r="B852" s="15">
        <v>67245</v>
      </c>
      <c r="C852" s="10" t="s">
        <v>3</v>
      </c>
      <c r="D852" s="10">
        <v>2084</v>
      </c>
    </row>
    <row r="853" spans="2:4" x14ac:dyDescent="0.35">
      <c r="B853" s="15">
        <v>67290</v>
      </c>
      <c r="C853" s="10" t="s">
        <v>16</v>
      </c>
      <c r="D853" s="10">
        <v>2084</v>
      </c>
    </row>
    <row r="854" spans="2:4" x14ac:dyDescent="0.35">
      <c r="B854" s="15">
        <v>67318</v>
      </c>
      <c r="C854" s="10" t="s">
        <v>11</v>
      </c>
      <c r="D854" s="10">
        <v>2084</v>
      </c>
    </row>
    <row r="855" spans="2:4" x14ac:dyDescent="0.35">
      <c r="B855" s="15">
        <v>67292</v>
      </c>
      <c r="C855" s="10" t="s">
        <v>17</v>
      </c>
      <c r="D855" s="10">
        <v>2084</v>
      </c>
    </row>
    <row r="856" spans="2:4" x14ac:dyDescent="0.35">
      <c r="B856" s="15">
        <v>67328</v>
      </c>
      <c r="C856" s="10" t="s">
        <v>12</v>
      </c>
      <c r="D856" s="10">
        <v>2084</v>
      </c>
    </row>
    <row r="857" spans="2:4" x14ac:dyDescent="0.35">
      <c r="B857" s="15">
        <v>67352</v>
      </c>
      <c r="C857" s="10" t="s">
        <v>18</v>
      </c>
      <c r="D857" s="10">
        <v>2084</v>
      </c>
    </row>
    <row r="858" spans="2:4" x14ac:dyDescent="0.35">
      <c r="B858" s="15">
        <v>67457</v>
      </c>
      <c r="C858" s="10" t="s">
        <v>19</v>
      </c>
      <c r="D858" s="10">
        <v>2084</v>
      </c>
    </row>
    <row r="859" spans="2:4" x14ac:dyDescent="0.35">
      <c r="B859" s="15">
        <v>67492</v>
      </c>
      <c r="C859" s="10" t="s">
        <v>20</v>
      </c>
      <c r="D859" s="10">
        <v>2084</v>
      </c>
    </row>
    <row r="860" spans="2:4" x14ac:dyDescent="0.35">
      <c r="B860" s="15">
        <v>67513</v>
      </c>
      <c r="C860" s="10" t="s">
        <v>13</v>
      </c>
      <c r="D860" s="10">
        <v>2084</v>
      </c>
    </row>
    <row r="861" spans="2:4" x14ac:dyDescent="0.35">
      <c r="B861" s="15">
        <v>67526</v>
      </c>
      <c r="C861" s="10" t="s">
        <v>14</v>
      </c>
      <c r="D861" s="10">
        <v>2084</v>
      </c>
    </row>
    <row r="862" spans="2:4" x14ac:dyDescent="0.35">
      <c r="B862" s="15">
        <v>67566</v>
      </c>
      <c r="C862" s="10" t="s">
        <v>15</v>
      </c>
      <c r="D862" s="10">
        <v>2084</v>
      </c>
    </row>
    <row r="863" spans="2:4" x14ac:dyDescent="0.35">
      <c r="B863" s="15">
        <v>67573</v>
      </c>
      <c r="C863" s="10" t="s">
        <v>10</v>
      </c>
      <c r="D863" s="10">
        <v>2085</v>
      </c>
    </row>
    <row r="864" spans="2:4" x14ac:dyDescent="0.35">
      <c r="B864" s="15">
        <v>67629</v>
      </c>
      <c r="C864" s="10" t="s">
        <v>3</v>
      </c>
      <c r="D864" s="10">
        <v>2085</v>
      </c>
    </row>
    <row r="865" spans="2:4" x14ac:dyDescent="0.35">
      <c r="B865" s="15">
        <v>67630</v>
      </c>
      <c r="C865" s="10" t="s">
        <v>3</v>
      </c>
      <c r="D865" s="10">
        <v>2085</v>
      </c>
    </row>
    <row r="866" spans="2:4" x14ac:dyDescent="0.35">
      <c r="B866" s="15">
        <v>67675</v>
      </c>
      <c r="C866" s="10" t="s">
        <v>16</v>
      </c>
      <c r="D866" s="10">
        <v>2085</v>
      </c>
    </row>
    <row r="867" spans="2:4" x14ac:dyDescent="0.35">
      <c r="B867" s="15">
        <v>67683</v>
      </c>
      <c r="C867" s="10" t="s">
        <v>11</v>
      </c>
      <c r="D867" s="10">
        <v>2085</v>
      </c>
    </row>
    <row r="868" spans="2:4" x14ac:dyDescent="0.35">
      <c r="B868" s="15">
        <v>67677</v>
      </c>
      <c r="C868" s="10" t="s">
        <v>17</v>
      </c>
      <c r="D868" s="10">
        <v>2085</v>
      </c>
    </row>
    <row r="869" spans="2:4" x14ac:dyDescent="0.35">
      <c r="B869" s="15">
        <v>67693</v>
      </c>
      <c r="C869" s="10" t="s">
        <v>12</v>
      </c>
      <c r="D869" s="10">
        <v>2085</v>
      </c>
    </row>
    <row r="870" spans="2:4" x14ac:dyDescent="0.35">
      <c r="B870" s="15">
        <v>67737</v>
      </c>
      <c r="C870" s="10" t="s">
        <v>18</v>
      </c>
      <c r="D870" s="10">
        <v>2085</v>
      </c>
    </row>
    <row r="871" spans="2:4" x14ac:dyDescent="0.35">
      <c r="B871" s="15">
        <v>67822</v>
      </c>
      <c r="C871" s="10" t="s">
        <v>19</v>
      </c>
      <c r="D871" s="10">
        <v>2085</v>
      </c>
    </row>
    <row r="872" spans="2:4" x14ac:dyDescent="0.35">
      <c r="B872" s="15">
        <v>67857</v>
      </c>
      <c r="C872" s="10" t="s">
        <v>20</v>
      </c>
      <c r="D872" s="10">
        <v>2085</v>
      </c>
    </row>
    <row r="873" spans="2:4" x14ac:dyDescent="0.35">
      <c r="B873" s="15">
        <v>67878</v>
      </c>
      <c r="C873" s="10" t="s">
        <v>13</v>
      </c>
      <c r="D873" s="10">
        <v>2085</v>
      </c>
    </row>
    <row r="874" spans="2:4" x14ac:dyDescent="0.35">
      <c r="B874" s="15">
        <v>67891</v>
      </c>
      <c r="C874" s="10" t="s">
        <v>14</v>
      </c>
      <c r="D874" s="10">
        <v>2085</v>
      </c>
    </row>
    <row r="875" spans="2:4" x14ac:dyDescent="0.35">
      <c r="B875" s="15">
        <v>67931</v>
      </c>
      <c r="C875" s="10" t="s">
        <v>15</v>
      </c>
      <c r="D875" s="10">
        <v>2085</v>
      </c>
    </row>
    <row r="876" spans="2:4" x14ac:dyDescent="0.35">
      <c r="B876" s="15">
        <v>67938</v>
      </c>
      <c r="C876" s="10" t="s">
        <v>10</v>
      </c>
      <c r="D876" s="10">
        <v>2086</v>
      </c>
    </row>
    <row r="877" spans="2:4" x14ac:dyDescent="0.35">
      <c r="B877" s="15">
        <v>67979</v>
      </c>
      <c r="C877" s="10" t="s">
        <v>3</v>
      </c>
      <c r="D877" s="10">
        <v>2086</v>
      </c>
    </row>
    <row r="878" spans="2:4" x14ac:dyDescent="0.35">
      <c r="B878" s="15">
        <v>67980</v>
      </c>
      <c r="C878" s="10" t="s">
        <v>3</v>
      </c>
      <c r="D878" s="10">
        <v>2086</v>
      </c>
    </row>
    <row r="879" spans="2:4" x14ac:dyDescent="0.35">
      <c r="B879" s="15">
        <v>68025</v>
      </c>
      <c r="C879" s="10" t="s">
        <v>16</v>
      </c>
      <c r="D879" s="10">
        <v>2086</v>
      </c>
    </row>
    <row r="880" spans="2:4" x14ac:dyDescent="0.35">
      <c r="B880" s="15">
        <v>68048</v>
      </c>
      <c r="C880" s="10" t="s">
        <v>11</v>
      </c>
      <c r="D880" s="10">
        <v>2086</v>
      </c>
    </row>
    <row r="881" spans="2:4" x14ac:dyDescent="0.35">
      <c r="B881" s="15">
        <v>68027</v>
      </c>
      <c r="C881" s="10" t="s">
        <v>17</v>
      </c>
      <c r="D881" s="10">
        <v>2086</v>
      </c>
    </row>
    <row r="882" spans="2:4" x14ac:dyDescent="0.35">
      <c r="B882" s="15">
        <v>68058</v>
      </c>
      <c r="C882" s="10" t="s">
        <v>12</v>
      </c>
      <c r="D882" s="10">
        <v>2086</v>
      </c>
    </row>
    <row r="883" spans="2:4" x14ac:dyDescent="0.35">
      <c r="B883" s="15">
        <v>68087</v>
      </c>
      <c r="C883" s="10" t="s">
        <v>18</v>
      </c>
      <c r="D883" s="10">
        <v>2086</v>
      </c>
    </row>
    <row r="884" spans="2:4" x14ac:dyDescent="0.35">
      <c r="B884" s="15">
        <v>68187</v>
      </c>
      <c r="C884" s="10" t="s">
        <v>19</v>
      </c>
      <c r="D884" s="10">
        <v>2086</v>
      </c>
    </row>
    <row r="885" spans="2:4" x14ac:dyDescent="0.35">
      <c r="B885" s="15">
        <v>68222</v>
      </c>
      <c r="C885" s="10" t="s">
        <v>20</v>
      </c>
      <c r="D885" s="10">
        <v>2086</v>
      </c>
    </row>
    <row r="886" spans="2:4" x14ac:dyDescent="0.35">
      <c r="B886" s="15">
        <v>68243</v>
      </c>
      <c r="C886" s="10" t="s">
        <v>13</v>
      </c>
      <c r="D886" s="10">
        <v>2086</v>
      </c>
    </row>
    <row r="887" spans="2:4" x14ac:dyDescent="0.35">
      <c r="B887" s="15">
        <v>68256</v>
      </c>
      <c r="C887" s="10" t="s">
        <v>14</v>
      </c>
      <c r="D887" s="10">
        <v>2086</v>
      </c>
    </row>
    <row r="888" spans="2:4" x14ac:dyDescent="0.35">
      <c r="B888" s="15">
        <v>68296</v>
      </c>
      <c r="C888" s="10" t="s">
        <v>15</v>
      </c>
      <c r="D888" s="10">
        <v>2086</v>
      </c>
    </row>
    <row r="889" spans="2:4" x14ac:dyDescent="0.35">
      <c r="B889" s="15">
        <v>68303</v>
      </c>
      <c r="C889" s="10" t="s">
        <v>10</v>
      </c>
      <c r="D889" s="10">
        <v>2087</v>
      </c>
    </row>
    <row r="890" spans="2:4" x14ac:dyDescent="0.35">
      <c r="B890" s="15">
        <v>68364</v>
      </c>
      <c r="C890" s="10" t="s">
        <v>3</v>
      </c>
      <c r="D890" s="10">
        <v>2087</v>
      </c>
    </row>
    <row r="891" spans="2:4" x14ac:dyDescent="0.35">
      <c r="B891" s="15">
        <v>68365</v>
      </c>
      <c r="C891" s="10" t="s">
        <v>3</v>
      </c>
      <c r="D891" s="10">
        <v>2087</v>
      </c>
    </row>
    <row r="892" spans="2:4" x14ac:dyDescent="0.35">
      <c r="B892" s="15">
        <v>68410</v>
      </c>
      <c r="C892" s="10" t="s">
        <v>16</v>
      </c>
      <c r="D892" s="10">
        <v>2087</v>
      </c>
    </row>
    <row r="893" spans="2:4" x14ac:dyDescent="0.35">
      <c r="B893" s="15">
        <v>68413</v>
      </c>
      <c r="C893" s="10" t="s">
        <v>11</v>
      </c>
      <c r="D893" s="10">
        <v>2087</v>
      </c>
    </row>
    <row r="894" spans="2:4" x14ac:dyDescent="0.35">
      <c r="B894" s="15">
        <v>68412</v>
      </c>
      <c r="C894" s="10" t="s">
        <v>17</v>
      </c>
      <c r="D894" s="10">
        <v>2087</v>
      </c>
    </row>
    <row r="895" spans="2:4" x14ac:dyDescent="0.35">
      <c r="B895" s="15">
        <v>68423</v>
      </c>
      <c r="C895" s="10" t="s">
        <v>12</v>
      </c>
      <c r="D895" s="10">
        <v>2087</v>
      </c>
    </row>
    <row r="896" spans="2:4" x14ac:dyDescent="0.35">
      <c r="B896" s="15">
        <v>68472</v>
      </c>
      <c r="C896" s="10" t="s">
        <v>18</v>
      </c>
      <c r="D896" s="10">
        <v>2087</v>
      </c>
    </row>
    <row r="897" spans="2:4" x14ac:dyDescent="0.35">
      <c r="B897" s="15">
        <v>68552</v>
      </c>
      <c r="C897" s="10" t="s">
        <v>19</v>
      </c>
      <c r="D897" s="10">
        <v>2087</v>
      </c>
    </row>
    <row r="898" spans="2:4" x14ac:dyDescent="0.35">
      <c r="B898" s="15">
        <v>68587</v>
      </c>
      <c r="C898" s="10" t="s">
        <v>20</v>
      </c>
      <c r="D898" s="10">
        <v>2087</v>
      </c>
    </row>
    <row r="899" spans="2:4" x14ac:dyDescent="0.35">
      <c r="B899" s="15">
        <v>68608</v>
      </c>
      <c r="C899" s="10" t="s">
        <v>13</v>
      </c>
      <c r="D899" s="10">
        <v>2087</v>
      </c>
    </row>
    <row r="900" spans="2:4" x14ac:dyDescent="0.35">
      <c r="B900" s="15">
        <v>68621</v>
      </c>
      <c r="C900" s="10" t="s">
        <v>14</v>
      </c>
      <c r="D900" s="10">
        <v>2087</v>
      </c>
    </row>
    <row r="901" spans="2:4" x14ac:dyDescent="0.35">
      <c r="B901" s="15">
        <v>68661</v>
      </c>
      <c r="C901" s="10" t="s">
        <v>15</v>
      </c>
      <c r="D901" s="10">
        <v>2087</v>
      </c>
    </row>
    <row r="902" spans="2:4" x14ac:dyDescent="0.35">
      <c r="B902" s="15">
        <v>68668</v>
      </c>
      <c r="C902" s="10" t="s">
        <v>10</v>
      </c>
      <c r="D902" s="10">
        <v>2088</v>
      </c>
    </row>
    <row r="903" spans="2:4" x14ac:dyDescent="0.35">
      <c r="B903" s="15">
        <v>68721</v>
      </c>
      <c r="C903" s="10" t="s">
        <v>3</v>
      </c>
      <c r="D903" s="10">
        <v>2088</v>
      </c>
    </row>
    <row r="904" spans="2:4" x14ac:dyDescent="0.35">
      <c r="B904" s="15">
        <v>68722</v>
      </c>
      <c r="C904" s="10" t="s">
        <v>3</v>
      </c>
      <c r="D904" s="10">
        <v>2088</v>
      </c>
    </row>
    <row r="905" spans="2:4" x14ac:dyDescent="0.35">
      <c r="B905" s="15">
        <v>68767</v>
      </c>
      <c r="C905" s="10" t="s">
        <v>16</v>
      </c>
      <c r="D905" s="10">
        <v>2088</v>
      </c>
    </row>
    <row r="906" spans="2:4" x14ac:dyDescent="0.35">
      <c r="B906" s="15">
        <v>68779</v>
      </c>
      <c r="C906" s="10" t="s">
        <v>11</v>
      </c>
      <c r="D906" s="10">
        <v>2088</v>
      </c>
    </row>
    <row r="907" spans="2:4" x14ac:dyDescent="0.35">
      <c r="B907" s="15">
        <v>68769</v>
      </c>
      <c r="C907" s="10" t="s">
        <v>17</v>
      </c>
      <c r="D907" s="10">
        <v>2088</v>
      </c>
    </row>
    <row r="908" spans="2:4" x14ac:dyDescent="0.35">
      <c r="B908" s="15">
        <v>68789</v>
      </c>
      <c r="C908" s="10" t="s">
        <v>12</v>
      </c>
      <c r="D908" s="10">
        <v>2088</v>
      </c>
    </row>
    <row r="909" spans="2:4" x14ac:dyDescent="0.35">
      <c r="B909" s="15">
        <v>68829</v>
      </c>
      <c r="C909" s="10" t="s">
        <v>18</v>
      </c>
      <c r="D909" s="10">
        <v>2088</v>
      </c>
    </row>
    <row r="910" spans="2:4" x14ac:dyDescent="0.35">
      <c r="B910" s="15">
        <v>68918</v>
      </c>
      <c r="C910" s="10" t="s">
        <v>19</v>
      </c>
      <c r="D910" s="10">
        <v>2088</v>
      </c>
    </row>
    <row r="911" spans="2:4" x14ac:dyDescent="0.35">
      <c r="B911" s="15">
        <v>68953</v>
      </c>
      <c r="C911" s="10" t="s">
        <v>20</v>
      </c>
      <c r="D911" s="10">
        <v>2088</v>
      </c>
    </row>
    <row r="912" spans="2:4" x14ac:dyDescent="0.35">
      <c r="B912" s="15">
        <v>68974</v>
      </c>
      <c r="C912" s="10" t="s">
        <v>13</v>
      </c>
      <c r="D912" s="10">
        <v>2088</v>
      </c>
    </row>
    <row r="913" spans="2:4" x14ac:dyDescent="0.35">
      <c r="B913" s="15">
        <v>68987</v>
      </c>
      <c r="C913" s="10" t="s">
        <v>14</v>
      </c>
      <c r="D913" s="10">
        <v>2088</v>
      </c>
    </row>
    <row r="914" spans="2:4" x14ac:dyDescent="0.35">
      <c r="B914" s="15">
        <v>69027</v>
      </c>
      <c r="C914" s="10" t="s">
        <v>15</v>
      </c>
      <c r="D914" s="10">
        <v>2088</v>
      </c>
    </row>
    <row r="915" spans="2:4" x14ac:dyDescent="0.35">
      <c r="B915" s="15">
        <v>69034</v>
      </c>
      <c r="C915" s="10" t="s">
        <v>10</v>
      </c>
      <c r="D915" s="10">
        <v>2089</v>
      </c>
    </row>
    <row r="916" spans="2:4" x14ac:dyDescent="0.35">
      <c r="B916" s="15">
        <v>69078</v>
      </c>
      <c r="C916" s="10" t="s">
        <v>3</v>
      </c>
      <c r="D916" s="10">
        <v>2089</v>
      </c>
    </row>
    <row r="917" spans="2:4" x14ac:dyDescent="0.35">
      <c r="B917" s="15">
        <v>69079</v>
      </c>
      <c r="C917" s="10" t="s">
        <v>3</v>
      </c>
      <c r="D917" s="10">
        <v>2089</v>
      </c>
    </row>
    <row r="918" spans="2:4" x14ac:dyDescent="0.35">
      <c r="B918" s="15">
        <v>69124</v>
      </c>
      <c r="C918" s="10" t="s">
        <v>16</v>
      </c>
      <c r="D918" s="10">
        <v>2089</v>
      </c>
    </row>
    <row r="919" spans="2:4" x14ac:dyDescent="0.35">
      <c r="B919" s="15">
        <v>69144</v>
      </c>
      <c r="C919" s="10" t="s">
        <v>11</v>
      </c>
      <c r="D919" s="10">
        <v>2089</v>
      </c>
    </row>
    <row r="920" spans="2:4" x14ac:dyDescent="0.35">
      <c r="B920" s="15">
        <v>69126</v>
      </c>
      <c r="C920" s="10" t="s">
        <v>17</v>
      </c>
      <c r="D920" s="10">
        <v>2089</v>
      </c>
    </row>
    <row r="921" spans="2:4" x14ac:dyDescent="0.35">
      <c r="B921" s="15">
        <v>69154</v>
      </c>
      <c r="C921" s="10" t="s">
        <v>12</v>
      </c>
      <c r="D921" s="10">
        <v>2089</v>
      </c>
    </row>
    <row r="922" spans="2:4" x14ac:dyDescent="0.35">
      <c r="B922" s="15">
        <v>69186</v>
      </c>
      <c r="C922" s="10" t="s">
        <v>18</v>
      </c>
      <c r="D922" s="10">
        <v>2089</v>
      </c>
    </row>
    <row r="923" spans="2:4" x14ac:dyDescent="0.35">
      <c r="B923" s="15">
        <v>69283</v>
      </c>
      <c r="C923" s="10" t="s">
        <v>19</v>
      </c>
      <c r="D923" s="10">
        <v>2089</v>
      </c>
    </row>
    <row r="924" spans="2:4" x14ac:dyDescent="0.35">
      <c r="B924" s="15">
        <v>69318</v>
      </c>
      <c r="C924" s="10" t="s">
        <v>20</v>
      </c>
      <c r="D924" s="10">
        <v>2089</v>
      </c>
    </row>
    <row r="925" spans="2:4" x14ac:dyDescent="0.35">
      <c r="B925" s="15">
        <v>69339</v>
      </c>
      <c r="C925" s="10" t="s">
        <v>13</v>
      </c>
      <c r="D925" s="10">
        <v>2089</v>
      </c>
    </row>
    <row r="926" spans="2:4" x14ac:dyDescent="0.35">
      <c r="B926" s="15">
        <v>69352</v>
      </c>
      <c r="C926" s="10" t="s">
        <v>14</v>
      </c>
      <c r="D926" s="10">
        <v>2089</v>
      </c>
    </row>
    <row r="927" spans="2:4" x14ac:dyDescent="0.35">
      <c r="B927" s="15">
        <v>69392</v>
      </c>
      <c r="C927" s="10" t="s">
        <v>15</v>
      </c>
      <c r="D927" s="10">
        <v>2089</v>
      </c>
    </row>
    <row r="928" spans="2:4" x14ac:dyDescent="0.35">
      <c r="B928" s="15">
        <v>69399</v>
      </c>
      <c r="C928" s="10" t="s">
        <v>10</v>
      </c>
      <c r="D928" s="10">
        <v>2090</v>
      </c>
    </row>
    <row r="929" spans="2:4" x14ac:dyDescent="0.35">
      <c r="B929" s="15">
        <v>69456</v>
      </c>
      <c r="C929" s="10" t="s">
        <v>3</v>
      </c>
      <c r="D929" s="10">
        <v>2090</v>
      </c>
    </row>
    <row r="930" spans="2:4" x14ac:dyDescent="0.35">
      <c r="B930" s="15">
        <v>69457</v>
      </c>
      <c r="C930" s="10" t="s">
        <v>3</v>
      </c>
      <c r="D930" s="10">
        <v>2090</v>
      </c>
    </row>
    <row r="931" spans="2:4" x14ac:dyDescent="0.35">
      <c r="B931" s="15">
        <v>69502</v>
      </c>
      <c r="C931" s="10" t="s">
        <v>16</v>
      </c>
      <c r="D931" s="10">
        <v>2090</v>
      </c>
    </row>
    <row r="932" spans="2:4" x14ac:dyDescent="0.35">
      <c r="B932" s="15">
        <v>69509</v>
      </c>
      <c r="C932" s="10" t="s">
        <v>11</v>
      </c>
      <c r="D932" s="10">
        <v>2090</v>
      </c>
    </row>
    <row r="933" spans="2:4" x14ac:dyDescent="0.35">
      <c r="B933" s="15">
        <v>69504</v>
      </c>
      <c r="C933" s="10" t="s">
        <v>17</v>
      </c>
      <c r="D933" s="10">
        <v>2090</v>
      </c>
    </row>
    <row r="934" spans="2:4" x14ac:dyDescent="0.35">
      <c r="B934" s="15">
        <v>69519</v>
      </c>
      <c r="C934" s="10" t="s">
        <v>12</v>
      </c>
      <c r="D934" s="10">
        <v>2090</v>
      </c>
    </row>
    <row r="935" spans="2:4" x14ac:dyDescent="0.35">
      <c r="B935" s="15">
        <v>69564</v>
      </c>
      <c r="C935" s="10" t="s">
        <v>18</v>
      </c>
      <c r="D935" s="10">
        <v>2090</v>
      </c>
    </row>
    <row r="936" spans="2:4" x14ac:dyDescent="0.35">
      <c r="B936" s="15">
        <v>69648</v>
      </c>
      <c r="C936" s="10" t="s">
        <v>19</v>
      </c>
      <c r="D936" s="10">
        <v>2090</v>
      </c>
    </row>
    <row r="937" spans="2:4" x14ac:dyDescent="0.35">
      <c r="B937" s="15">
        <v>69683</v>
      </c>
      <c r="C937" s="10" t="s">
        <v>20</v>
      </c>
      <c r="D937" s="10">
        <v>2090</v>
      </c>
    </row>
    <row r="938" spans="2:4" x14ac:dyDescent="0.35">
      <c r="B938" s="15">
        <v>69704</v>
      </c>
      <c r="C938" s="10" t="s">
        <v>13</v>
      </c>
      <c r="D938" s="10">
        <v>2090</v>
      </c>
    </row>
    <row r="939" spans="2:4" x14ac:dyDescent="0.35">
      <c r="B939" s="15">
        <v>69717</v>
      </c>
      <c r="C939" s="10" t="s">
        <v>14</v>
      </c>
      <c r="D939" s="10">
        <v>2090</v>
      </c>
    </row>
    <row r="940" spans="2:4" x14ac:dyDescent="0.35">
      <c r="B940" s="15">
        <v>69757</v>
      </c>
      <c r="C940" s="10" t="s">
        <v>15</v>
      </c>
      <c r="D940" s="10">
        <v>2090</v>
      </c>
    </row>
    <row r="941" spans="2:4" x14ac:dyDescent="0.35">
      <c r="B941" s="15">
        <v>69764</v>
      </c>
      <c r="C941" s="10" t="s">
        <v>10</v>
      </c>
      <c r="D941" s="10">
        <v>2091</v>
      </c>
    </row>
    <row r="942" spans="2:4" x14ac:dyDescent="0.35">
      <c r="B942" s="15">
        <v>69813</v>
      </c>
      <c r="C942" s="10" t="s">
        <v>3</v>
      </c>
      <c r="D942" s="10">
        <v>2091</v>
      </c>
    </row>
    <row r="943" spans="2:4" x14ac:dyDescent="0.35">
      <c r="B943" s="15">
        <v>69814</v>
      </c>
      <c r="C943" s="10" t="s">
        <v>3</v>
      </c>
      <c r="D943" s="10">
        <v>2091</v>
      </c>
    </row>
    <row r="944" spans="2:4" x14ac:dyDescent="0.35">
      <c r="B944" s="15">
        <v>69859</v>
      </c>
      <c r="C944" s="10" t="s">
        <v>16</v>
      </c>
      <c r="D944" s="10">
        <v>2091</v>
      </c>
    </row>
    <row r="945" spans="2:4" x14ac:dyDescent="0.35">
      <c r="B945" s="15">
        <v>69874</v>
      </c>
      <c r="C945" s="10" t="s">
        <v>11</v>
      </c>
      <c r="D945" s="10">
        <v>2091</v>
      </c>
    </row>
    <row r="946" spans="2:4" x14ac:dyDescent="0.35">
      <c r="B946" s="15">
        <v>69861</v>
      </c>
      <c r="C946" s="10" t="s">
        <v>17</v>
      </c>
      <c r="D946" s="10">
        <v>2091</v>
      </c>
    </row>
    <row r="947" spans="2:4" x14ac:dyDescent="0.35">
      <c r="B947" s="15">
        <v>69884</v>
      </c>
      <c r="C947" s="10" t="s">
        <v>12</v>
      </c>
      <c r="D947" s="10">
        <v>2091</v>
      </c>
    </row>
    <row r="948" spans="2:4" x14ac:dyDescent="0.35">
      <c r="B948" s="15">
        <v>69921</v>
      </c>
      <c r="C948" s="10" t="s">
        <v>18</v>
      </c>
      <c r="D948" s="10">
        <v>2091</v>
      </c>
    </row>
    <row r="949" spans="2:4" x14ac:dyDescent="0.35">
      <c r="B949" s="15">
        <v>70013</v>
      </c>
      <c r="C949" s="10" t="s">
        <v>19</v>
      </c>
      <c r="D949" s="10">
        <v>2091</v>
      </c>
    </row>
    <row r="950" spans="2:4" x14ac:dyDescent="0.35">
      <c r="B950" s="15">
        <v>70048</v>
      </c>
      <c r="C950" s="10" t="s">
        <v>20</v>
      </c>
      <c r="D950" s="10">
        <v>2091</v>
      </c>
    </row>
    <row r="951" spans="2:4" x14ac:dyDescent="0.35">
      <c r="B951" s="15">
        <v>70069</v>
      </c>
      <c r="C951" s="10" t="s">
        <v>13</v>
      </c>
      <c r="D951" s="10">
        <v>2091</v>
      </c>
    </row>
    <row r="952" spans="2:4" x14ac:dyDescent="0.35">
      <c r="B952" s="15">
        <v>70082</v>
      </c>
      <c r="C952" s="10" t="s">
        <v>14</v>
      </c>
      <c r="D952" s="10">
        <v>2091</v>
      </c>
    </row>
    <row r="953" spans="2:4" x14ac:dyDescent="0.35">
      <c r="B953" s="15">
        <v>70122</v>
      </c>
      <c r="C953" s="10" t="s">
        <v>15</v>
      </c>
      <c r="D953" s="10">
        <v>2091</v>
      </c>
    </row>
    <row r="954" spans="2:4" x14ac:dyDescent="0.35">
      <c r="B954" s="15">
        <v>70129</v>
      </c>
      <c r="C954" s="10" t="s">
        <v>10</v>
      </c>
      <c r="D954" s="10">
        <v>2092</v>
      </c>
    </row>
    <row r="955" spans="2:4" x14ac:dyDescent="0.35">
      <c r="B955" s="15">
        <v>70170</v>
      </c>
      <c r="C955" s="10" t="s">
        <v>3</v>
      </c>
      <c r="D955" s="10">
        <v>2092</v>
      </c>
    </row>
    <row r="956" spans="2:4" x14ac:dyDescent="0.35">
      <c r="B956" s="15">
        <v>70171</v>
      </c>
      <c r="C956" s="10" t="s">
        <v>3</v>
      </c>
      <c r="D956" s="10">
        <v>2092</v>
      </c>
    </row>
    <row r="957" spans="2:4" x14ac:dyDescent="0.35">
      <c r="B957" s="15">
        <v>70216</v>
      </c>
      <c r="C957" s="10" t="s">
        <v>16</v>
      </c>
      <c r="D957" s="10">
        <v>2092</v>
      </c>
    </row>
    <row r="958" spans="2:4" x14ac:dyDescent="0.35">
      <c r="B958" s="15">
        <v>70240</v>
      </c>
      <c r="C958" s="10" t="s">
        <v>11</v>
      </c>
      <c r="D958" s="10">
        <v>2092</v>
      </c>
    </row>
    <row r="959" spans="2:4" x14ac:dyDescent="0.35">
      <c r="B959" s="15">
        <v>70218</v>
      </c>
      <c r="C959" s="10" t="s">
        <v>17</v>
      </c>
      <c r="D959" s="10">
        <v>2092</v>
      </c>
    </row>
    <row r="960" spans="2:4" x14ac:dyDescent="0.35">
      <c r="B960" s="15">
        <v>70250</v>
      </c>
      <c r="C960" s="10" t="s">
        <v>12</v>
      </c>
      <c r="D960" s="10">
        <v>2092</v>
      </c>
    </row>
    <row r="961" spans="2:4" x14ac:dyDescent="0.35">
      <c r="B961" s="15">
        <v>70278</v>
      </c>
      <c r="C961" s="10" t="s">
        <v>18</v>
      </c>
      <c r="D961" s="10">
        <v>2092</v>
      </c>
    </row>
    <row r="962" spans="2:4" x14ac:dyDescent="0.35">
      <c r="B962" s="15">
        <v>70379</v>
      </c>
      <c r="C962" s="10" t="s">
        <v>19</v>
      </c>
      <c r="D962" s="10">
        <v>2092</v>
      </c>
    </row>
    <row r="963" spans="2:4" x14ac:dyDescent="0.35">
      <c r="B963" s="15">
        <v>70414</v>
      </c>
      <c r="C963" s="10" t="s">
        <v>20</v>
      </c>
      <c r="D963" s="10">
        <v>2092</v>
      </c>
    </row>
    <row r="964" spans="2:4" x14ac:dyDescent="0.35">
      <c r="B964" s="15">
        <v>70435</v>
      </c>
      <c r="C964" s="10" t="s">
        <v>13</v>
      </c>
      <c r="D964" s="10">
        <v>2092</v>
      </c>
    </row>
    <row r="965" spans="2:4" x14ac:dyDescent="0.35">
      <c r="B965" s="15">
        <v>70448</v>
      </c>
      <c r="C965" s="10" t="s">
        <v>14</v>
      </c>
      <c r="D965" s="10">
        <v>2092</v>
      </c>
    </row>
    <row r="966" spans="2:4" x14ac:dyDescent="0.35">
      <c r="B966" s="15">
        <v>70488</v>
      </c>
      <c r="C966" s="10" t="s">
        <v>15</v>
      </c>
      <c r="D966" s="10">
        <v>2092</v>
      </c>
    </row>
    <row r="967" spans="2:4" x14ac:dyDescent="0.35">
      <c r="B967" s="15">
        <v>70495</v>
      </c>
      <c r="C967" s="10" t="s">
        <v>10</v>
      </c>
      <c r="D967" s="10">
        <v>2093</v>
      </c>
    </row>
    <row r="968" spans="2:4" x14ac:dyDescent="0.35">
      <c r="B968" s="15">
        <v>70548</v>
      </c>
      <c r="C968" s="10" t="s">
        <v>3</v>
      </c>
      <c r="D968" s="10">
        <v>2093</v>
      </c>
    </row>
    <row r="969" spans="2:4" x14ac:dyDescent="0.35">
      <c r="B969" s="15">
        <v>70549</v>
      </c>
      <c r="C969" s="10" t="s">
        <v>3</v>
      </c>
      <c r="D969" s="10">
        <v>2093</v>
      </c>
    </row>
    <row r="970" spans="2:4" x14ac:dyDescent="0.35">
      <c r="B970" s="15">
        <v>70594</v>
      </c>
      <c r="C970" s="10" t="s">
        <v>16</v>
      </c>
      <c r="D970" s="10">
        <v>2093</v>
      </c>
    </row>
    <row r="971" spans="2:4" x14ac:dyDescent="0.35">
      <c r="B971" s="15">
        <v>70605</v>
      </c>
      <c r="C971" s="10" t="s">
        <v>11</v>
      </c>
      <c r="D971" s="10">
        <v>2093</v>
      </c>
    </row>
    <row r="972" spans="2:4" x14ac:dyDescent="0.35">
      <c r="B972" s="15">
        <v>70596</v>
      </c>
      <c r="C972" s="10" t="s">
        <v>17</v>
      </c>
      <c r="D972" s="10">
        <v>2093</v>
      </c>
    </row>
    <row r="973" spans="2:4" x14ac:dyDescent="0.35">
      <c r="B973" s="15">
        <v>70615</v>
      </c>
      <c r="C973" s="10" t="s">
        <v>12</v>
      </c>
      <c r="D973" s="10">
        <v>2093</v>
      </c>
    </row>
    <row r="974" spans="2:4" x14ac:dyDescent="0.35">
      <c r="B974" s="15">
        <v>70656</v>
      </c>
      <c r="C974" s="10" t="s">
        <v>18</v>
      </c>
      <c r="D974" s="10">
        <v>2093</v>
      </c>
    </row>
    <row r="975" spans="2:4" x14ac:dyDescent="0.35">
      <c r="B975" s="15">
        <v>70744</v>
      </c>
      <c r="C975" s="10" t="s">
        <v>19</v>
      </c>
      <c r="D975" s="10">
        <v>2093</v>
      </c>
    </row>
    <row r="976" spans="2:4" x14ac:dyDescent="0.35">
      <c r="B976" s="15">
        <v>70779</v>
      </c>
      <c r="C976" s="10" t="s">
        <v>20</v>
      </c>
      <c r="D976" s="10">
        <v>2093</v>
      </c>
    </row>
    <row r="977" spans="2:4" x14ac:dyDescent="0.35">
      <c r="B977" s="15">
        <v>70800</v>
      </c>
      <c r="C977" s="10" t="s">
        <v>13</v>
      </c>
      <c r="D977" s="10">
        <v>2093</v>
      </c>
    </row>
    <row r="978" spans="2:4" x14ac:dyDescent="0.35">
      <c r="B978" s="15">
        <v>70813</v>
      </c>
      <c r="C978" s="10" t="s">
        <v>14</v>
      </c>
      <c r="D978" s="10">
        <v>2093</v>
      </c>
    </row>
    <row r="979" spans="2:4" x14ac:dyDescent="0.35">
      <c r="B979" s="15">
        <v>70853</v>
      </c>
      <c r="C979" s="10" t="s">
        <v>15</v>
      </c>
      <c r="D979" s="10">
        <v>2093</v>
      </c>
    </row>
    <row r="980" spans="2:4" x14ac:dyDescent="0.35">
      <c r="B980" s="15">
        <v>70860</v>
      </c>
      <c r="C980" s="10" t="s">
        <v>10</v>
      </c>
      <c r="D980" s="10">
        <v>2094</v>
      </c>
    </row>
    <row r="981" spans="2:4" x14ac:dyDescent="0.35">
      <c r="B981" s="15">
        <v>70905</v>
      </c>
      <c r="C981" s="10" t="s">
        <v>3</v>
      </c>
      <c r="D981" s="10">
        <v>2094</v>
      </c>
    </row>
    <row r="982" spans="2:4" x14ac:dyDescent="0.35">
      <c r="B982" s="15">
        <v>70906</v>
      </c>
      <c r="C982" s="10" t="s">
        <v>3</v>
      </c>
      <c r="D982" s="10">
        <v>2094</v>
      </c>
    </row>
    <row r="983" spans="2:4" x14ac:dyDescent="0.35">
      <c r="B983" s="15">
        <v>70951</v>
      </c>
      <c r="C983" s="10" t="s">
        <v>16</v>
      </c>
      <c r="D983" s="10">
        <v>2094</v>
      </c>
    </row>
    <row r="984" spans="2:4" x14ac:dyDescent="0.35">
      <c r="B984" s="15">
        <v>70970</v>
      </c>
      <c r="C984" s="10" t="s">
        <v>11</v>
      </c>
      <c r="D984" s="10">
        <v>2094</v>
      </c>
    </row>
    <row r="985" spans="2:4" x14ac:dyDescent="0.35">
      <c r="B985" s="15">
        <v>70953</v>
      </c>
      <c r="C985" s="10" t="s">
        <v>17</v>
      </c>
      <c r="D985" s="10">
        <v>2094</v>
      </c>
    </row>
    <row r="986" spans="2:4" x14ac:dyDescent="0.35">
      <c r="B986" s="15">
        <v>70980</v>
      </c>
      <c r="C986" s="10" t="s">
        <v>12</v>
      </c>
      <c r="D986" s="10">
        <v>2094</v>
      </c>
    </row>
    <row r="987" spans="2:4" x14ac:dyDescent="0.35">
      <c r="B987" s="15">
        <v>71013</v>
      </c>
      <c r="C987" s="10" t="s">
        <v>18</v>
      </c>
      <c r="D987" s="10">
        <v>2094</v>
      </c>
    </row>
    <row r="988" spans="2:4" x14ac:dyDescent="0.35">
      <c r="B988" s="15">
        <v>71109</v>
      </c>
      <c r="C988" s="10" t="s">
        <v>19</v>
      </c>
      <c r="D988" s="10">
        <v>2094</v>
      </c>
    </row>
    <row r="989" spans="2:4" x14ac:dyDescent="0.35">
      <c r="B989" s="15">
        <v>71144</v>
      </c>
      <c r="C989" s="10" t="s">
        <v>20</v>
      </c>
      <c r="D989" s="10">
        <v>2094</v>
      </c>
    </row>
    <row r="990" spans="2:4" x14ac:dyDescent="0.35">
      <c r="B990" s="15">
        <v>71165</v>
      </c>
      <c r="C990" s="10" t="s">
        <v>13</v>
      </c>
      <c r="D990" s="10">
        <v>2094</v>
      </c>
    </row>
    <row r="991" spans="2:4" x14ac:dyDescent="0.35">
      <c r="B991" s="15">
        <v>71178</v>
      </c>
      <c r="C991" s="10" t="s">
        <v>14</v>
      </c>
      <c r="D991" s="10">
        <v>2094</v>
      </c>
    </row>
    <row r="992" spans="2:4" x14ac:dyDescent="0.35">
      <c r="B992" s="15">
        <v>71218</v>
      </c>
      <c r="C992" s="10" t="s">
        <v>15</v>
      </c>
      <c r="D992" s="10">
        <v>2094</v>
      </c>
    </row>
    <row r="993" spans="2:4" x14ac:dyDescent="0.35">
      <c r="B993" s="15">
        <v>71225</v>
      </c>
      <c r="C993" s="10" t="s">
        <v>10</v>
      </c>
      <c r="D993" s="10">
        <v>2095</v>
      </c>
    </row>
    <row r="994" spans="2:4" x14ac:dyDescent="0.35">
      <c r="B994" s="15">
        <v>71290</v>
      </c>
      <c r="C994" s="10" t="s">
        <v>3</v>
      </c>
      <c r="D994" s="10">
        <v>2095</v>
      </c>
    </row>
    <row r="995" spans="2:4" x14ac:dyDescent="0.35">
      <c r="B995" s="15">
        <v>71291</v>
      </c>
      <c r="C995" s="10" t="s">
        <v>3</v>
      </c>
      <c r="D995" s="10">
        <v>2095</v>
      </c>
    </row>
    <row r="996" spans="2:4" x14ac:dyDescent="0.35">
      <c r="B996" s="15">
        <v>71336</v>
      </c>
      <c r="C996" s="10" t="s">
        <v>16</v>
      </c>
      <c r="D996" s="10">
        <v>2095</v>
      </c>
    </row>
    <row r="997" spans="2:4" x14ac:dyDescent="0.35">
      <c r="B997" s="15">
        <v>71335</v>
      </c>
      <c r="C997" s="10" t="s">
        <v>11</v>
      </c>
      <c r="D997" s="10">
        <v>2095</v>
      </c>
    </row>
    <row r="998" spans="2:4" x14ac:dyDescent="0.35">
      <c r="B998" s="15">
        <v>71338</v>
      </c>
      <c r="C998" s="10" t="s">
        <v>17</v>
      </c>
      <c r="D998" s="10">
        <v>2095</v>
      </c>
    </row>
    <row r="999" spans="2:4" x14ac:dyDescent="0.35">
      <c r="B999" s="15">
        <v>71345</v>
      </c>
      <c r="C999" s="10" t="s">
        <v>12</v>
      </c>
      <c r="D999" s="10">
        <v>2095</v>
      </c>
    </row>
    <row r="1000" spans="2:4" x14ac:dyDescent="0.35">
      <c r="B1000" s="15">
        <v>71398</v>
      </c>
      <c r="C1000" s="10" t="s">
        <v>18</v>
      </c>
      <c r="D1000" s="10">
        <v>2095</v>
      </c>
    </row>
    <row r="1001" spans="2:4" x14ac:dyDescent="0.35">
      <c r="B1001" s="15">
        <v>71474</v>
      </c>
      <c r="C1001" s="10" t="s">
        <v>19</v>
      </c>
      <c r="D1001" s="10">
        <v>2095</v>
      </c>
    </row>
    <row r="1002" spans="2:4" x14ac:dyDescent="0.35">
      <c r="B1002" s="15">
        <v>71509</v>
      </c>
      <c r="C1002" s="10" t="s">
        <v>20</v>
      </c>
      <c r="D1002" s="10">
        <v>2095</v>
      </c>
    </row>
    <row r="1003" spans="2:4" x14ac:dyDescent="0.35">
      <c r="B1003" s="15">
        <v>71530</v>
      </c>
      <c r="C1003" s="10" t="s">
        <v>13</v>
      </c>
      <c r="D1003" s="10">
        <v>2095</v>
      </c>
    </row>
    <row r="1004" spans="2:4" x14ac:dyDescent="0.35">
      <c r="B1004" s="15">
        <v>71543</v>
      </c>
      <c r="C1004" s="10" t="s">
        <v>14</v>
      </c>
      <c r="D1004" s="10">
        <v>2095</v>
      </c>
    </row>
    <row r="1005" spans="2:4" x14ac:dyDescent="0.35">
      <c r="B1005" s="15">
        <v>71583</v>
      </c>
      <c r="C1005" s="10" t="s">
        <v>15</v>
      </c>
      <c r="D1005" s="10">
        <v>2095</v>
      </c>
    </row>
    <row r="1006" spans="2:4" x14ac:dyDescent="0.35">
      <c r="B1006" s="15">
        <v>71590</v>
      </c>
      <c r="C1006" s="10" t="s">
        <v>10</v>
      </c>
      <c r="D1006" s="10">
        <v>2096</v>
      </c>
    </row>
    <row r="1007" spans="2:4" x14ac:dyDescent="0.35">
      <c r="B1007" s="15">
        <v>71647</v>
      </c>
      <c r="C1007" s="10" t="s">
        <v>3</v>
      </c>
      <c r="D1007" s="10">
        <v>2096</v>
      </c>
    </row>
    <row r="1008" spans="2:4" x14ac:dyDescent="0.35">
      <c r="B1008" s="15">
        <v>71648</v>
      </c>
      <c r="C1008" s="10" t="s">
        <v>3</v>
      </c>
      <c r="D1008" s="10">
        <v>2096</v>
      </c>
    </row>
    <row r="1009" spans="2:4" x14ac:dyDescent="0.35">
      <c r="B1009" s="15">
        <v>71693</v>
      </c>
      <c r="C1009" s="10" t="s">
        <v>16</v>
      </c>
      <c r="D1009" s="10">
        <v>2096</v>
      </c>
    </row>
    <row r="1010" spans="2:4" x14ac:dyDescent="0.35">
      <c r="B1010" s="15">
        <v>71701</v>
      </c>
      <c r="C1010" s="10" t="s">
        <v>11</v>
      </c>
      <c r="D1010" s="10">
        <v>2096</v>
      </c>
    </row>
    <row r="1011" spans="2:4" x14ac:dyDescent="0.35">
      <c r="B1011" s="15">
        <v>71695</v>
      </c>
      <c r="C1011" s="10" t="s">
        <v>17</v>
      </c>
      <c r="D1011" s="10">
        <v>2096</v>
      </c>
    </row>
    <row r="1012" spans="2:4" x14ac:dyDescent="0.35">
      <c r="B1012" s="15">
        <v>71711</v>
      </c>
      <c r="C1012" s="10" t="s">
        <v>12</v>
      </c>
      <c r="D1012" s="10">
        <v>2096</v>
      </c>
    </row>
    <row r="1013" spans="2:4" x14ac:dyDescent="0.35">
      <c r="B1013" s="15">
        <v>71755</v>
      </c>
      <c r="C1013" s="10" t="s">
        <v>18</v>
      </c>
      <c r="D1013" s="10">
        <v>2096</v>
      </c>
    </row>
    <row r="1014" spans="2:4" x14ac:dyDescent="0.35">
      <c r="B1014" s="15">
        <v>71840</v>
      </c>
      <c r="C1014" s="10" t="s">
        <v>19</v>
      </c>
      <c r="D1014" s="10">
        <v>2096</v>
      </c>
    </row>
    <row r="1015" spans="2:4" x14ac:dyDescent="0.35">
      <c r="B1015" s="15">
        <v>71875</v>
      </c>
      <c r="C1015" s="10" t="s">
        <v>20</v>
      </c>
      <c r="D1015" s="10">
        <v>2096</v>
      </c>
    </row>
    <row r="1016" spans="2:4" x14ac:dyDescent="0.35">
      <c r="B1016" s="15">
        <v>71896</v>
      </c>
      <c r="C1016" s="10" t="s">
        <v>13</v>
      </c>
      <c r="D1016" s="10">
        <v>2096</v>
      </c>
    </row>
    <row r="1017" spans="2:4" x14ac:dyDescent="0.35">
      <c r="B1017" s="15">
        <v>71909</v>
      </c>
      <c r="C1017" s="10" t="s">
        <v>14</v>
      </c>
      <c r="D1017" s="10">
        <v>2096</v>
      </c>
    </row>
    <row r="1018" spans="2:4" x14ac:dyDescent="0.35">
      <c r="B1018" s="15">
        <v>71949</v>
      </c>
      <c r="C1018" s="10" t="s">
        <v>15</v>
      </c>
      <c r="D1018" s="10">
        <v>2096</v>
      </c>
    </row>
    <row r="1019" spans="2:4" x14ac:dyDescent="0.35">
      <c r="B1019" s="15">
        <v>71956</v>
      </c>
      <c r="C1019" s="10" t="s">
        <v>10</v>
      </c>
      <c r="D1019" s="10">
        <v>2097</v>
      </c>
    </row>
    <row r="1020" spans="2:4" x14ac:dyDescent="0.35">
      <c r="B1020" s="15">
        <v>71997</v>
      </c>
      <c r="C1020" s="10" t="s">
        <v>3</v>
      </c>
      <c r="D1020" s="10">
        <v>2097</v>
      </c>
    </row>
    <row r="1021" spans="2:4" x14ac:dyDescent="0.35">
      <c r="B1021" s="15">
        <v>71998</v>
      </c>
      <c r="C1021" s="10" t="s">
        <v>3</v>
      </c>
      <c r="D1021" s="10">
        <v>2097</v>
      </c>
    </row>
    <row r="1022" spans="2:4" x14ac:dyDescent="0.35">
      <c r="B1022" s="15">
        <v>72043</v>
      </c>
      <c r="C1022" s="10" t="s">
        <v>16</v>
      </c>
      <c r="D1022" s="10">
        <v>2097</v>
      </c>
    </row>
    <row r="1023" spans="2:4" x14ac:dyDescent="0.35">
      <c r="B1023" s="15">
        <v>72066</v>
      </c>
      <c r="C1023" s="10" t="s">
        <v>11</v>
      </c>
      <c r="D1023" s="10">
        <v>2097</v>
      </c>
    </row>
    <row r="1024" spans="2:4" x14ac:dyDescent="0.35">
      <c r="B1024" s="15">
        <v>72045</v>
      </c>
      <c r="C1024" s="10" t="s">
        <v>17</v>
      </c>
      <c r="D1024" s="10">
        <v>2097</v>
      </c>
    </row>
    <row r="1025" spans="2:4" x14ac:dyDescent="0.35">
      <c r="B1025" s="15">
        <v>72076</v>
      </c>
      <c r="C1025" s="10" t="s">
        <v>12</v>
      </c>
      <c r="D1025" s="10">
        <v>2097</v>
      </c>
    </row>
    <row r="1026" spans="2:4" x14ac:dyDescent="0.35">
      <c r="B1026" s="15">
        <v>72105</v>
      </c>
      <c r="C1026" s="10" t="s">
        <v>18</v>
      </c>
      <c r="D1026" s="10">
        <v>2097</v>
      </c>
    </row>
    <row r="1027" spans="2:4" x14ac:dyDescent="0.35">
      <c r="B1027" s="15">
        <v>72205</v>
      </c>
      <c r="C1027" s="10" t="s">
        <v>19</v>
      </c>
      <c r="D1027" s="10">
        <v>2097</v>
      </c>
    </row>
    <row r="1028" spans="2:4" x14ac:dyDescent="0.35">
      <c r="B1028" s="15">
        <v>72240</v>
      </c>
      <c r="C1028" s="10" t="s">
        <v>20</v>
      </c>
      <c r="D1028" s="10">
        <v>2097</v>
      </c>
    </row>
    <row r="1029" spans="2:4" x14ac:dyDescent="0.35">
      <c r="B1029" s="15">
        <v>72261</v>
      </c>
      <c r="C1029" s="10" t="s">
        <v>13</v>
      </c>
      <c r="D1029" s="10">
        <v>2097</v>
      </c>
    </row>
    <row r="1030" spans="2:4" x14ac:dyDescent="0.35">
      <c r="B1030" s="15">
        <v>72274</v>
      </c>
      <c r="C1030" s="10" t="s">
        <v>14</v>
      </c>
      <c r="D1030" s="10">
        <v>2097</v>
      </c>
    </row>
    <row r="1031" spans="2:4" x14ac:dyDescent="0.35">
      <c r="B1031" s="15">
        <v>72314</v>
      </c>
      <c r="C1031" s="10" t="s">
        <v>15</v>
      </c>
      <c r="D1031" s="10">
        <v>2097</v>
      </c>
    </row>
    <row r="1032" spans="2:4" x14ac:dyDescent="0.35">
      <c r="B1032" s="15">
        <v>72321</v>
      </c>
      <c r="C1032" s="10" t="s">
        <v>10</v>
      </c>
      <c r="D1032" s="10">
        <v>2098</v>
      </c>
    </row>
    <row r="1033" spans="2:4" x14ac:dyDescent="0.35">
      <c r="B1033" s="15">
        <v>72382</v>
      </c>
      <c r="C1033" s="10" t="s">
        <v>3</v>
      </c>
      <c r="D1033" s="10">
        <v>2098</v>
      </c>
    </row>
    <row r="1034" spans="2:4" x14ac:dyDescent="0.35">
      <c r="B1034" s="15">
        <v>72383</v>
      </c>
      <c r="C1034" s="10" t="s">
        <v>3</v>
      </c>
      <c r="D1034" s="10">
        <v>2098</v>
      </c>
    </row>
    <row r="1035" spans="2:4" x14ac:dyDescent="0.35">
      <c r="B1035" s="15">
        <v>72428</v>
      </c>
      <c r="C1035" s="10" t="s">
        <v>16</v>
      </c>
      <c r="D1035" s="10">
        <v>2098</v>
      </c>
    </row>
    <row r="1036" spans="2:4" x14ac:dyDescent="0.35">
      <c r="B1036" s="15">
        <v>72431</v>
      </c>
      <c r="C1036" s="10" t="s">
        <v>11</v>
      </c>
      <c r="D1036" s="10">
        <v>2098</v>
      </c>
    </row>
    <row r="1037" spans="2:4" x14ac:dyDescent="0.35">
      <c r="B1037" s="15">
        <v>72430</v>
      </c>
      <c r="C1037" s="10" t="s">
        <v>17</v>
      </c>
      <c r="D1037" s="10">
        <v>2098</v>
      </c>
    </row>
    <row r="1038" spans="2:4" x14ac:dyDescent="0.35">
      <c r="B1038" s="15">
        <v>72441</v>
      </c>
      <c r="C1038" s="10" t="s">
        <v>12</v>
      </c>
      <c r="D1038" s="10">
        <v>2098</v>
      </c>
    </row>
    <row r="1039" spans="2:4" x14ac:dyDescent="0.35">
      <c r="B1039" s="15">
        <v>72490</v>
      </c>
      <c r="C1039" s="10" t="s">
        <v>18</v>
      </c>
      <c r="D1039" s="10">
        <v>2098</v>
      </c>
    </row>
    <row r="1040" spans="2:4" x14ac:dyDescent="0.35">
      <c r="B1040" s="15">
        <v>72570</v>
      </c>
      <c r="C1040" s="10" t="s">
        <v>19</v>
      </c>
      <c r="D1040" s="10">
        <v>2098</v>
      </c>
    </row>
    <row r="1041" spans="2:4" x14ac:dyDescent="0.35">
      <c r="B1041" s="15">
        <v>72605</v>
      </c>
      <c r="C1041" s="10" t="s">
        <v>20</v>
      </c>
      <c r="D1041" s="10">
        <v>2098</v>
      </c>
    </row>
    <row r="1042" spans="2:4" x14ac:dyDescent="0.35">
      <c r="B1042" s="15">
        <v>72626</v>
      </c>
      <c r="C1042" s="10" t="s">
        <v>13</v>
      </c>
      <c r="D1042" s="10">
        <v>2098</v>
      </c>
    </row>
    <row r="1043" spans="2:4" x14ac:dyDescent="0.35">
      <c r="B1043" s="15">
        <v>72639</v>
      </c>
      <c r="C1043" s="10" t="s">
        <v>14</v>
      </c>
      <c r="D1043" s="10">
        <v>2098</v>
      </c>
    </row>
    <row r="1044" spans="2:4" x14ac:dyDescent="0.35">
      <c r="B1044" s="15">
        <v>72679</v>
      </c>
      <c r="C1044" s="10" t="s">
        <v>15</v>
      </c>
      <c r="D1044" s="10">
        <v>2098</v>
      </c>
    </row>
    <row r="1045" spans="2:4" x14ac:dyDescent="0.35">
      <c r="B1045" s="15">
        <v>72686</v>
      </c>
      <c r="C1045" s="10" t="s">
        <v>10</v>
      </c>
      <c r="D1045" s="10">
        <v>2099</v>
      </c>
    </row>
    <row r="1046" spans="2:4" x14ac:dyDescent="0.35">
      <c r="B1046" s="15">
        <v>72739</v>
      </c>
      <c r="C1046" s="10" t="s">
        <v>3</v>
      </c>
      <c r="D1046" s="10">
        <v>2099</v>
      </c>
    </row>
    <row r="1047" spans="2:4" x14ac:dyDescent="0.35">
      <c r="B1047" s="15">
        <v>72740</v>
      </c>
      <c r="C1047" s="10" t="s">
        <v>3</v>
      </c>
      <c r="D1047" s="10">
        <v>2099</v>
      </c>
    </row>
    <row r="1048" spans="2:4" x14ac:dyDescent="0.35">
      <c r="B1048" s="15">
        <v>72785</v>
      </c>
      <c r="C1048" s="10" t="s">
        <v>16</v>
      </c>
      <c r="D1048" s="10">
        <v>2099</v>
      </c>
    </row>
    <row r="1049" spans="2:4" x14ac:dyDescent="0.35">
      <c r="B1049" s="15">
        <v>72796</v>
      </c>
      <c r="C1049" s="10" t="s">
        <v>11</v>
      </c>
      <c r="D1049" s="10">
        <v>2099</v>
      </c>
    </row>
    <row r="1050" spans="2:4" x14ac:dyDescent="0.35">
      <c r="B1050" s="15">
        <v>72787</v>
      </c>
      <c r="C1050" s="10" t="s">
        <v>17</v>
      </c>
      <c r="D1050" s="10">
        <v>2099</v>
      </c>
    </row>
    <row r="1051" spans="2:4" x14ac:dyDescent="0.35">
      <c r="B1051" s="15">
        <v>72806</v>
      </c>
      <c r="C1051" s="10" t="s">
        <v>12</v>
      </c>
      <c r="D1051" s="10">
        <v>2099</v>
      </c>
    </row>
    <row r="1052" spans="2:4" x14ac:dyDescent="0.35">
      <c r="B1052" s="15">
        <v>72847</v>
      </c>
      <c r="C1052" s="10" t="s">
        <v>18</v>
      </c>
      <c r="D1052" s="10">
        <v>2099</v>
      </c>
    </row>
    <row r="1053" spans="2:4" x14ac:dyDescent="0.35">
      <c r="B1053" s="15">
        <v>72935</v>
      </c>
      <c r="C1053" s="10" t="s">
        <v>19</v>
      </c>
      <c r="D1053" s="10">
        <v>2099</v>
      </c>
    </row>
    <row r="1054" spans="2:4" x14ac:dyDescent="0.35">
      <c r="B1054" s="15">
        <v>72970</v>
      </c>
      <c r="C1054" s="10" t="s">
        <v>20</v>
      </c>
      <c r="D1054" s="10">
        <v>2099</v>
      </c>
    </row>
    <row r="1055" spans="2:4" x14ac:dyDescent="0.35">
      <c r="B1055" s="15">
        <v>72991</v>
      </c>
      <c r="C1055" s="10" t="s">
        <v>13</v>
      </c>
      <c r="D1055" s="10">
        <v>2099</v>
      </c>
    </row>
    <row r="1056" spans="2:4" x14ac:dyDescent="0.35">
      <c r="B1056" s="15">
        <v>73004</v>
      </c>
      <c r="C1056" s="10" t="s">
        <v>14</v>
      </c>
      <c r="D1056" s="10">
        <v>2099</v>
      </c>
    </row>
    <row r="1057" spans="2:4" x14ac:dyDescent="0.35">
      <c r="B1057" s="15">
        <v>73044</v>
      </c>
      <c r="C1057" s="10" t="s">
        <v>15</v>
      </c>
      <c r="D1057" s="10">
        <v>2099</v>
      </c>
    </row>
    <row r="1058" spans="2:4" x14ac:dyDescent="0.35">
      <c r="B1058" s="15">
        <v>73051</v>
      </c>
      <c r="C1058" s="10" t="s">
        <v>10</v>
      </c>
      <c r="D1058" s="10">
        <v>2100</v>
      </c>
    </row>
    <row r="1059" spans="2:4" x14ac:dyDescent="0.35">
      <c r="B1059" s="15">
        <v>73089</v>
      </c>
      <c r="C1059" s="10" t="s">
        <v>3</v>
      </c>
      <c r="D1059" s="10">
        <v>2100</v>
      </c>
    </row>
    <row r="1060" spans="2:4" x14ac:dyDescent="0.35">
      <c r="B1060" s="15">
        <v>73090</v>
      </c>
      <c r="C1060" s="10" t="s">
        <v>3</v>
      </c>
      <c r="D1060" s="10">
        <v>2100</v>
      </c>
    </row>
    <row r="1061" spans="2:4" x14ac:dyDescent="0.35">
      <c r="B1061" s="15">
        <v>73135</v>
      </c>
      <c r="C1061" s="10" t="s">
        <v>16</v>
      </c>
      <c r="D1061" s="10">
        <v>2100</v>
      </c>
    </row>
    <row r="1062" spans="2:4" x14ac:dyDescent="0.35">
      <c r="B1062" s="15">
        <v>73161</v>
      </c>
      <c r="C1062" s="10" t="s">
        <v>11</v>
      </c>
      <c r="D1062" s="10">
        <v>2100</v>
      </c>
    </row>
    <row r="1063" spans="2:4" x14ac:dyDescent="0.35">
      <c r="B1063" s="15">
        <v>73137</v>
      </c>
      <c r="C1063" s="10" t="s">
        <v>17</v>
      </c>
      <c r="D1063" s="10">
        <v>2100</v>
      </c>
    </row>
    <row r="1064" spans="2:4" x14ac:dyDescent="0.35">
      <c r="B1064" s="15">
        <v>73171</v>
      </c>
      <c r="C1064" s="10" t="s">
        <v>12</v>
      </c>
      <c r="D1064" s="10">
        <v>2100</v>
      </c>
    </row>
    <row r="1065" spans="2:4" x14ac:dyDescent="0.35">
      <c r="B1065" s="15">
        <v>73197</v>
      </c>
      <c r="C1065" s="10" t="s">
        <v>18</v>
      </c>
      <c r="D1065" s="10">
        <v>2100</v>
      </c>
    </row>
    <row r="1066" spans="2:4" x14ac:dyDescent="0.35">
      <c r="B1066" s="15">
        <v>73300</v>
      </c>
      <c r="C1066" s="10" t="s">
        <v>19</v>
      </c>
      <c r="D1066" s="10">
        <v>2100</v>
      </c>
    </row>
    <row r="1067" spans="2:4" x14ac:dyDescent="0.35">
      <c r="B1067" s="15">
        <v>73335</v>
      </c>
      <c r="C1067" s="10" t="s">
        <v>20</v>
      </c>
      <c r="D1067" s="10">
        <v>2100</v>
      </c>
    </row>
    <row r="1068" spans="2:4" x14ac:dyDescent="0.35">
      <c r="B1068" s="15">
        <v>73356</v>
      </c>
      <c r="C1068" s="10" t="s">
        <v>13</v>
      </c>
      <c r="D1068" s="10">
        <v>2100</v>
      </c>
    </row>
    <row r="1069" spans="2:4" x14ac:dyDescent="0.35">
      <c r="B1069" s="15">
        <v>73369</v>
      </c>
      <c r="C1069" s="10" t="s">
        <v>14</v>
      </c>
      <c r="D1069" s="10">
        <v>2100</v>
      </c>
    </row>
    <row r="1070" spans="2:4" x14ac:dyDescent="0.35">
      <c r="B1070" s="15">
        <v>73409</v>
      </c>
      <c r="C1070" s="10" t="s">
        <v>15</v>
      </c>
      <c r="D1070" s="10">
        <v>2100</v>
      </c>
    </row>
  </sheetData>
  <autoFilter ref="B4:D4" xr:uid="{71FA1C9E-F86B-4A3D-8251-6BC8D1A18102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0FF9C64E764A9A5EF4A1D905800C" ma:contentTypeVersion="19" ma:contentTypeDescription="Create a new document." ma:contentTypeScope="" ma:versionID="726a6ba1db5a661911b7acf620dfcf10">
  <xsd:schema xmlns:xsd="http://www.w3.org/2001/XMLSchema" xmlns:xs="http://www.w3.org/2001/XMLSchema" xmlns:p="http://schemas.microsoft.com/office/2006/metadata/properties" xmlns:ns2="7d9987d3-97c5-4886-998a-278e2fca9861" xmlns:ns3="8466bb34-92c4-4e08-847a-4f5d6edeb3da" targetNamespace="http://schemas.microsoft.com/office/2006/metadata/properties" ma:root="true" ma:fieldsID="e4c4e364875e6d3fa937d7c88a3adc57" ns2:_="" ns3:_="">
    <xsd:import namespace="7d9987d3-97c5-4886-998a-278e2fca9861"/>
    <xsd:import namespace="8466bb34-92c4-4e08-847a-4f5d6edeb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987d3-97c5-4886-998a-278e2fca9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6bb34-92c4-4e08-847a-4f5d6edeb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262b7c8-c941-44e0-a704-a3072d26aa0f}" ma:internalName="TaxCatchAll" ma:showField="CatchAllData" ma:web="8466bb34-92c4-4e08-847a-4f5d6edeb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9987d3-97c5-4886-998a-278e2fca9861">
      <Terms xmlns="http://schemas.microsoft.com/office/infopath/2007/PartnerControls"/>
    </lcf76f155ced4ddcb4097134ff3c332f>
    <TaxCatchAll xmlns="8466bb34-92c4-4e08-847a-4f5d6edeb3da" xsi:nil="true"/>
  </documentManagement>
</p:properties>
</file>

<file path=customXml/itemProps1.xml><?xml version="1.0" encoding="utf-8"?>
<ds:datastoreItem xmlns:ds="http://schemas.openxmlformats.org/officeDocument/2006/customXml" ds:itemID="{E9A3A423-3032-4D3D-8AA3-604C23196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987d3-97c5-4886-998a-278e2fca9861"/>
    <ds:schemaRef ds:uri="8466bb34-92c4-4e08-847a-4f5d6edeb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6A022C-24A4-4545-B425-5792403A2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7F361-A8F2-4139-BBDA-82477E1AF00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2596522-7568-493A-8945-F6F6E7B0F414}">
  <ds:schemaRefs>
    <ds:schemaRef ds:uri="http://schemas.microsoft.com/office/2006/metadata/properties"/>
    <ds:schemaRef ds:uri="http://schemas.microsoft.com/office/infopath/2007/PartnerControls"/>
    <ds:schemaRef ds:uri="7d9987d3-97c5-4886-998a-278e2fca9861"/>
    <ds:schemaRef ds:uri="8466bb34-92c4-4e08-847a-4f5d6edeb3da"/>
  </ds:schemaRefs>
</ds:datastoreItem>
</file>

<file path=docMetadata/LabelInfo.xml><?xml version="1.0" encoding="utf-8"?>
<clbl:labelList xmlns:clbl="http://schemas.microsoft.com/office/2020/mipLabelMetadata">
  <clbl:label id="{f27cb1b6-4159-4a38-a94b-cbd1c10c7376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ForgIA</vt:lpstr>
      <vt:lpstr>Demanda2_IA</vt:lpstr>
      <vt:lpstr>Demanda3_IA</vt:lpstr>
      <vt:lpstr>Demanda4_IA</vt:lpstr>
      <vt:lpstr>Feriados</vt:lpstr>
      <vt:lpstr>Dados_Demanda2_IA</vt:lpstr>
      <vt:lpstr>Dados_Demanda3_IA</vt:lpstr>
      <vt:lpstr>Dados_Demanda4_IA</vt:lpstr>
      <vt:lpstr>Dados_ForgIA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Halax Randis</dc:creator>
  <cp:lastModifiedBy>Rafael Pereira Chagas</cp:lastModifiedBy>
  <dcterms:created xsi:type="dcterms:W3CDTF">2024-02-12T13:28:28Z</dcterms:created>
  <dcterms:modified xsi:type="dcterms:W3CDTF">2025-12-02T16:39:04Z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7cb1b6-4159-4a38-a94b-cbd1c10c7376_Enabled">
    <vt:lpwstr>true</vt:lpwstr>
  </property>
  <property fmtid="{D5CDD505-2E9C-101B-9397-08002B2CF9AE}" pid="3" name="MSIP_Label_f27cb1b6-4159-4a38-a94b-cbd1c10c7376_SetDate">
    <vt:lpwstr>2025-11-07T19:10:40Z</vt:lpwstr>
  </property>
  <property fmtid="{D5CDD505-2E9C-101B-9397-08002B2CF9AE}" pid="4" name="MSIP_Label_f27cb1b6-4159-4a38-a94b-cbd1c10c7376_Method">
    <vt:lpwstr>Privileged</vt:lpwstr>
  </property>
  <property fmtid="{D5CDD505-2E9C-101B-9397-08002B2CF9AE}" pid="5" name="MSIP_Label_f27cb1b6-4159-4a38-a94b-cbd1c10c7376_Name">
    <vt:lpwstr>Internal Use</vt:lpwstr>
  </property>
  <property fmtid="{D5CDD505-2E9C-101B-9397-08002B2CF9AE}" pid="6" name="MSIP_Label_f27cb1b6-4159-4a38-a94b-cbd1c10c7376_SiteId">
    <vt:lpwstr>9744600e-3e04-492e-baa1-25ec245c6f10</vt:lpwstr>
  </property>
  <property fmtid="{D5CDD505-2E9C-101B-9397-08002B2CF9AE}" pid="7" name="MSIP_Label_f27cb1b6-4159-4a38-a94b-cbd1c10c7376_ActionId">
    <vt:lpwstr>a3b4ef43-664e-4bb9-8b4a-ef7bc2e28e15</vt:lpwstr>
  </property>
  <property fmtid="{D5CDD505-2E9C-101B-9397-08002B2CF9AE}" pid="8" name="MSIP_Label_f27cb1b6-4159-4a38-a94b-cbd1c10c7376_ContentBits">
    <vt:lpwstr>2</vt:lpwstr>
  </property>
  <property fmtid="{D5CDD505-2E9C-101B-9397-08002B2CF9AE}" pid="9" name="ContentTypeId">
    <vt:lpwstr>0x010100940A0FF9C64E764A9A5EF4A1D905800C</vt:lpwstr>
  </property>
  <property fmtid="{D5CDD505-2E9C-101B-9397-08002B2CF9AE}" pid="10" name="MediaServiceImageTags">
    <vt:lpwstr/>
  </property>
</Properties>
</file>